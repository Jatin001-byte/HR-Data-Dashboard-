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g657\Desktop\new macro\"/>
    </mc:Choice>
  </mc:AlternateContent>
  <xr:revisionPtr revIDLastSave="0" documentId="13_ncr:1_{F4619AA4-4513-4DB2-8944-AB2000BB0EF0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Daily Attendance" sheetId="2" r:id="rId1"/>
    <sheet name="ABSENT REASONS" sheetId="7" r:id="rId2"/>
    <sheet name="MONTHLY ATTENDANCE " sheetId="8" r:id="rId3"/>
    <sheet name="holiday list" sheetId="9" r:id="rId4"/>
  </sheets>
  <definedNames>
    <definedName name="_xlnm._FilterDatabase" localSheetId="1" hidden="1">'ABSENT REASONS'!$A$1:$AH$90</definedName>
    <definedName name="_xlnm._FilterDatabase" localSheetId="0" hidden="1">'Daily Attendance'!$K$1:$L$2</definedName>
    <definedName name="_xlnm._FilterDatabase" localSheetId="2" hidden="1">'MONTHLY ATTENDANCE '!$A$1:$AN$91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7" l="1"/>
  <c r="AI91" i="7"/>
  <c r="AJ91" i="7"/>
  <c r="AK91" i="7"/>
  <c r="AI92" i="7"/>
  <c r="AJ92" i="7"/>
  <c r="AK92" i="7"/>
  <c r="AI93" i="7"/>
  <c r="AJ93" i="7"/>
  <c r="AK93" i="7"/>
  <c r="AI94" i="7"/>
  <c r="AJ94" i="7"/>
  <c r="AK94" i="7"/>
  <c r="AI95" i="7"/>
  <c r="AJ95" i="7"/>
  <c r="AK95" i="7"/>
  <c r="AI96" i="7"/>
  <c r="AJ96" i="7"/>
  <c r="AK96" i="7"/>
  <c r="AI97" i="7"/>
  <c r="AJ97" i="7"/>
  <c r="AK97" i="7"/>
  <c r="AI98" i="7"/>
  <c r="AJ98" i="7"/>
  <c r="AK98" i="7"/>
  <c r="AI99" i="7"/>
  <c r="AJ99" i="7"/>
  <c r="AK99" i="7"/>
  <c r="AI100" i="7"/>
  <c r="AJ100" i="7"/>
  <c r="AK100" i="7"/>
  <c r="AI101" i="7"/>
  <c r="AJ101" i="7"/>
  <c r="AK101" i="7"/>
  <c r="AI102" i="7"/>
  <c r="AJ102" i="7"/>
  <c r="AK102" i="7"/>
  <c r="AI103" i="7"/>
  <c r="AJ103" i="7"/>
  <c r="AK103" i="7"/>
  <c r="AI104" i="7"/>
  <c r="AJ104" i="7"/>
  <c r="AK104" i="7"/>
  <c r="AI105" i="7"/>
  <c r="AJ105" i="7"/>
  <c r="AK105" i="7"/>
  <c r="AI106" i="7"/>
  <c r="AJ106" i="7"/>
  <c r="AK106" i="7"/>
  <c r="AI107" i="7"/>
  <c r="AJ107" i="7"/>
  <c r="AK107" i="7"/>
  <c r="AI108" i="7"/>
  <c r="AJ108" i="7"/>
  <c r="AK108" i="7"/>
  <c r="AI109" i="7"/>
  <c r="AJ109" i="7"/>
  <c r="AK109" i="7"/>
  <c r="AI110" i="7"/>
  <c r="AJ110" i="7"/>
  <c r="AK110" i="7"/>
  <c r="AI111" i="7"/>
  <c r="AJ111" i="7"/>
  <c r="AK111" i="7"/>
  <c r="AI112" i="7"/>
  <c r="AJ112" i="7"/>
  <c r="AK112" i="7"/>
  <c r="AI113" i="7"/>
  <c r="AJ113" i="7"/>
  <c r="AK113" i="7"/>
  <c r="AI114" i="7"/>
  <c r="AJ114" i="7"/>
  <c r="AK114" i="7"/>
  <c r="AI115" i="7"/>
  <c r="AJ115" i="7"/>
  <c r="AK115" i="7"/>
  <c r="AI116" i="7"/>
  <c r="AJ116" i="7"/>
  <c r="AK116" i="7"/>
  <c r="AI117" i="7"/>
  <c r="AJ117" i="7"/>
  <c r="AK117" i="7"/>
  <c r="AI118" i="7"/>
  <c r="AJ118" i="7"/>
  <c r="AK118" i="7"/>
  <c r="AI119" i="7"/>
  <c r="AJ119" i="7"/>
  <c r="AK119" i="7"/>
  <c r="AI120" i="7"/>
  <c r="AJ120" i="7"/>
  <c r="AK120" i="7"/>
  <c r="AI121" i="7"/>
  <c r="AJ121" i="7"/>
  <c r="AK121" i="7"/>
  <c r="H4" i="8"/>
  <c r="B5" i="8" s="1"/>
  <c r="C5" i="8" a="1"/>
  <c r="C5" i="8" s="1"/>
  <c r="I4" i="8"/>
  <c r="I3" i="8" s="1"/>
  <c r="H3" i="8"/>
  <c r="AM104" i="8"/>
  <c r="AN104" i="8" s="1"/>
  <c r="AL6" i="8" a="1"/>
  <c r="AL6" i="8" s="1"/>
  <c r="G4" i="8"/>
  <c r="J4" i="8"/>
  <c r="J3" i="8" s="1"/>
  <c r="K4" i="8"/>
  <c r="K3" i="8" s="1"/>
  <c r="L4" i="8"/>
  <c r="L3" i="8" s="1"/>
  <c r="M4" i="8"/>
  <c r="M3" i="8" s="1"/>
  <c r="N4" i="8"/>
  <c r="N3" i="8" s="1"/>
  <c r="O4" i="8"/>
  <c r="O3" i="8" s="1"/>
  <c r="P4" i="8"/>
  <c r="P3" i="8" s="1"/>
  <c r="Q4" i="8"/>
  <c r="Q3" i="8" s="1"/>
  <c r="R4" i="8"/>
  <c r="S4" i="8"/>
  <c r="S3" i="8" s="1"/>
  <c r="T4" i="8"/>
  <c r="T3" i="8" s="1"/>
  <c r="U4" i="8"/>
  <c r="U3" i="8" s="1"/>
  <c r="V4" i="8"/>
  <c r="V3" i="8" s="1"/>
  <c r="W4" i="8"/>
  <c r="W3" i="8" s="1"/>
  <c r="X4" i="8"/>
  <c r="X3" i="8" s="1"/>
  <c r="Y4" i="8"/>
  <c r="Z4" i="8"/>
  <c r="Z3" i="8" s="1"/>
  <c r="AA4" i="8"/>
  <c r="AA3" i="8" s="1"/>
  <c r="AB4" i="8"/>
  <c r="AB3" i="8" s="1"/>
  <c r="AC4" i="8"/>
  <c r="AC3" i="8" s="1"/>
  <c r="AD4" i="8"/>
  <c r="AD3" i="8" s="1"/>
  <c r="AE4" i="8"/>
  <c r="AF4" i="8"/>
  <c r="AF3" i="8" s="1"/>
  <c r="AG4" i="8"/>
  <c r="AG3" i="8" s="1"/>
  <c r="AH4" i="8"/>
  <c r="AH3" i="8" s="1"/>
  <c r="AI4" i="8"/>
  <c r="AI3" i="8" s="1"/>
  <c r="AJ4" i="8"/>
  <c r="AJ3" i="8" s="1"/>
  <c r="AK4" i="8"/>
  <c r="AK3" i="8" s="1"/>
  <c r="AL92" i="8" a="1"/>
  <c r="AL92" i="8" s="1"/>
  <c r="AM92" i="8"/>
  <c r="AN92" i="8" s="1"/>
  <c r="AL93" i="8" a="1"/>
  <c r="AL93" i="8" s="1"/>
  <c r="AM93" i="8"/>
  <c r="AN93" i="8"/>
  <c r="AL94" i="8" a="1"/>
  <c r="AL94" i="8" s="1"/>
  <c r="AM94" i="8"/>
  <c r="AN94" i="8"/>
  <c r="AL95" i="8" a="1"/>
  <c r="AL95" i="8" s="1"/>
  <c r="AM95" i="8"/>
  <c r="AN95" i="8"/>
  <c r="AL96" i="8" a="1"/>
  <c r="AL96" i="8" s="1"/>
  <c r="AM96" i="8"/>
  <c r="AN96" i="8"/>
  <c r="AL97" i="8" a="1"/>
  <c r="AL97" i="8" s="1"/>
  <c r="AM97" i="8"/>
  <c r="AN97" i="8"/>
  <c r="AL98" i="8" a="1"/>
  <c r="AL98" i="8" s="1"/>
  <c r="AM98" i="8"/>
  <c r="AN98" i="8" s="1"/>
  <c r="AL99" i="8" a="1"/>
  <c r="AL99" i="8" s="1"/>
  <c r="AM99" i="8"/>
  <c r="AN99" i="8"/>
  <c r="AL100" i="8" a="1"/>
  <c r="AL100" i="8" s="1"/>
  <c r="AM100" i="8"/>
  <c r="AN100" i="8"/>
  <c r="AL101" i="8" a="1"/>
  <c r="AL101" i="8" s="1"/>
  <c r="AM101" i="8"/>
  <c r="AN101" i="8"/>
  <c r="AL102" i="8" a="1"/>
  <c r="AL102" i="8" s="1"/>
  <c r="AM102" i="8"/>
  <c r="AN102" i="8"/>
  <c r="AL103" i="8" a="1"/>
  <c r="AL103" i="8" s="1"/>
  <c r="AM103" i="8"/>
  <c r="AN103" i="8"/>
  <c r="AL104" i="8" a="1"/>
  <c r="AL104" i="8" s="1"/>
  <c r="AL105" i="8" a="1"/>
  <c r="AL105" i="8" s="1"/>
  <c r="AM105" i="8"/>
  <c r="AN105" i="8"/>
  <c r="AL106" i="8" a="1"/>
  <c r="AL106" i="8" s="1"/>
  <c r="AM106" i="8"/>
  <c r="AN106" i="8"/>
  <c r="AL107" i="8" a="1"/>
  <c r="AL107" i="8" s="1"/>
  <c r="AM107" i="8"/>
  <c r="AN107" i="8"/>
  <c r="AL108" i="8" a="1"/>
  <c r="AL108" i="8" s="1"/>
  <c r="AM108" i="8"/>
  <c r="AN108" i="8"/>
  <c r="AL109" i="8" a="1"/>
  <c r="AL109" i="8" s="1"/>
  <c r="AM109" i="8"/>
  <c r="AN109" i="8"/>
  <c r="AL110" i="8" a="1"/>
  <c r="AL110" i="8" s="1"/>
  <c r="AM110" i="8"/>
  <c r="AN110" i="8"/>
  <c r="AL111" i="8" a="1"/>
  <c r="AL111" i="8" s="1"/>
  <c r="AM111" i="8"/>
  <c r="AN111" i="8"/>
  <c r="AL112" i="8" a="1"/>
  <c r="AL112" i="8" s="1"/>
  <c r="AM112" i="8"/>
  <c r="AN112" i="8"/>
  <c r="AL113" i="8" a="1"/>
  <c r="AL113" i="8" s="1"/>
  <c r="AM113" i="8"/>
  <c r="AN113" i="8"/>
  <c r="AL114" i="8" a="1"/>
  <c r="AL114" i="8" s="1"/>
  <c r="AM114" i="8"/>
  <c r="AN114" i="8"/>
  <c r="AL115" i="8" a="1"/>
  <c r="AL115" i="8" s="1"/>
  <c r="AM115" i="8"/>
  <c r="AN115" i="8"/>
  <c r="AL116" i="8" a="1"/>
  <c r="AL116" i="8" s="1"/>
  <c r="AM116" i="8"/>
  <c r="AN116" i="8" s="1"/>
  <c r="AL117" i="8" a="1"/>
  <c r="AL117" i="8" s="1"/>
  <c r="AM117" i="8"/>
  <c r="AN117" i="8"/>
  <c r="AL118" i="8" a="1"/>
  <c r="AL118" i="8" s="1"/>
  <c r="AM118" i="8"/>
  <c r="AN118" i="8"/>
  <c r="AL119" i="8" a="1"/>
  <c r="AL119" i="8" s="1"/>
  <c r="AM119" i="8"/>
  <c r="AN119" i="8"/>
  <c r="AL120" i="8" a="1"/>
  <c r="AL120" i="8" s="1"/>
  <c r="AM120" i="8"/>
  <c r="AN120" i="8"/>
  <c r="AL121" i="8" a="1"/>
  <c r="AL121" i="8" s="1"/>
  <c r="AM121" i="8"/>
  <c r="AN121" i="8"/>
  <c r="AL122" i="8" a="1"/>
  <c r="AL122" i="8" s="1"/>
  <c r="AM122" i="8"/>
  <c r="AN122" i="8" s="1"/>
  <c r="AM13" i="8"/>
  <c r="AN13" i="8" s="1"/>
  <c r="AM14" i="8"/>
  <c r="AN14" i="8" s="1"/>
  <c r="AL13" i="8" a="1"/>
  <c r="AL13" i="8" s="1"/>
  <c r="AL14" i="8" a="1"/>
  <c r="AL14" i="8" s="1"/>
  <c r="C18" i="2"/>
  <c r="C89" i="2"/>
  <c r="C88" i="2"/>
  <c r="C22" i="2"/>
  <c r="C87" i="2" a="1"/>
  <c r="C87" i="2" s="1"/>
  <c r="C84" i="2" a="1"/>
  <c r="C84" i="2" s="1"/>
  <c r="C79" i="2" a="1"/>
  <c r="C79" i="2" s="1"/>
  <c r="C75" i="2" a="1"/>
  <c r="C75" i="2" s="1"/>
  <c r="C70" i="2" a="1"/>
  <c r="C70" i="2" s="1"/>
  <c r="C62" i="2" a="1"/>
  <c r="C62" i="2" s="1"/>
  <c r="C53" i="2" a="1"/>
  <c r="C53" i="2" s="1"/>
  <c r="C45" i="2" a="1"/>
  <c r="C45" i="2" s="1"/>
  <c r="C40" i="2" a="1"/>
  <c r="C40" i="2" s="1"/>
  <c r="C38" i="2" a="1"/>
  <c r="C38" i="2" s="1"/>
  <c r="C35" i="2" a="1"/>
  <c r="C35" i="2" s="1"/>
  <c r="C33" i="2" a="1"/>
  <c r="C33" i="2" s="1"/>
  <c r="C30" i="2" a="1"/>
  <c r="C30" i="2" s="1"/>
  <c r="C28" i="2" a="1"/>
  <c r="C28" i="2" s="1"/>
  <c r="C24" i="2" a="1"/>
  <c r="C24" i="2" s="1"/>
  <c r="C20" i="2" a="1"/>
  <c r="C20" i="2" s="1"/>
  <c r="C16" i="2" a="1"/>
  <c r="C16" i="2" s="1"/>
  <c r="C14" i="2" a="1"/>
  <c r="C14" i="2" s="1"/>
  <c r="C9" i="2" a="1"/>
  <c r="C9" i="2" s="1"/>
  <c r="C4" i="2"/>
  <c r="C86" i="2"/>
  <c r="C82" i="2"/>
  <c r="C76" i="2"/>
  <c r="C74" i="2"/>
  <c r="C66" i="2"/>
  <c r="C58" i="2"/>
  <c r="C48" i="2"/>
  <c r="C42" i="2"/>
  <c r="C39" i="2"/>
  <c r="C37" i="2"/>
  <c r="C34" i="2"/>
  <c r="C32" i="2"/>
  <c r="C29" i="2"/>
  <c r="C27" i="2"/>
  <c r="C23" i="2"/>
  <c r="C19" i="2"/>
  <c r="C15" i="2"/>
  <c r="C13" i="2"/>
  <c r="AL10" i="8" a="1"/>
  <c r="AL10" i="8" s="1"/>
  <c r="AL11" i="8" a="1"/>
  <c r="AL11" i="8" s="1"/>
  <c r="AL12" i="8" a="1"/>
  <c r="AL12" i="8" s="1"/>
  <c r="AL15" i="8" a="1"/>
  <c r="AL15" i="8" s="1"/>
  <c r="AL16" i="8" a="1"/>
  <c r="AL16" i="8" s="1"/>
  <c r="AL17" i="8" a="1"/>
  <c r="AL17" i="8" s="1"/>
  <c r="AL18" i="8" a="1"/>
  <c r="AL18" i="8" s="1"/>
  <c r="AL19" i="8" a="1"/>
  <c r="AL19" i="8" s="1"/>
  <c r="AL20" i="8" a="1"/>
  <c r="AL20" i="8" s="1"/>
  <c r="AL21" i="8" a="1"/>
  <c r="AL21" i="8" s="1"/>
  <c r="AL22" i="8" a="1"/>
  <c r="AL22" i="8" s="1"/>
  <c r="AL23" i="8" a="1"/>
  <c r="AL23" i="8" s="1"/>
  <c r="AL24" i="8" a="1"/>
  <c r="AL24" i="8" s="1"/>
  <c r="AL25" i="8" a="1"/>
  <c r="AL25" i="8" s="1"/>
  <c r="AL26" i="8" a="1"/>
  <c r="AL26" i="8" s="1"/>
  <c r="AL27" i="8" a="1"/>
  <c r="AL27" i="8" s="1"/>
  <c r="AL28" i="8" a="1"/>
  <c r="AL28" i="8" s="1"/>
  <c r="AL29" i="8" a="1"/>
  <c r="AL29" i="8" s="1"/>
  <c r="AL30" i="8" a="1"/>
  <c r="AL30" i="8" s="1"/>
  <c r="AL31" i="8" a="1"/>
  <c r="AL31" i="8" s="1"/>
  <c r="AL32" i="8" a="1"/>
  <c r="AL32" i="8" s="1"/>
  <c r="AL33" i="8" a="1"/>
  <c r="AL33" i="8" s="1"/>
  <c r="AL34" i="8" a="1"/>
  <c r="AL34" i="8" s="1"/>
  <c r="AL35" i="8" a="1"/>
  <c r="AL35" i="8" s="1"/>
  <c r="AL36" i="8" a="1"/>
  <c r="AL36" i="8" s="1"/>
  <c r="AL37" i="8" a="1"/>
  <c r="AL37" i="8" s="1"/>
  <c r="AL38" i="8" a="1"/>
  <c r="AL38" i="8" s="1"/>
  <c r="AL39" i="8" a="1"/>
  <c r="AL39" i="8" s="1"/>
  <c r="AL40" i="8" a="1"/>
  <c r="AL40" i="8" s="1"/>
  <c r="AL41" i="8" a="1"/>
  <c r="AL41" i="8" s="1"/>
  <c r="AL42" i="8" a="1"/>
  <c r="AL42" i="8" s="1"/>
  <c r="AL43" i="8" a="1"/>
  <c r="AL43" i="8" s="1"/>
  <c r="AL44" i="8" a="1"/>
  <c r="AL44" i="8" s="1"/>
  <c r="AL45" i="8" a="1"/>
  <c r="AL45" i="8" s="1"/>
  <c r="AL46" i="8" a="1"/>
  <c r="AL46" i="8" s="1"/>
  <c r="AL47" i="8" a="1"/>
  <c r="AL47" i="8" s="1"/>
  <c r="AL48" i="8" a="1"/>
  <c r="AL48" i="8" s="1"/>
  <c r="AL49" i="8" a="1"/>
  <c r="AL49" i="8" s="1"/>
  <c r="AL50" i="8" a="1"/>
  <c r="AL50" i="8" s="1"/>
  <c r="AL51" i="8" a="1"/>
  <c r="AL51" i="8" s="1"/>
  <c r="AL52" i="8" a="1"/>
  <c r="AL52" i="8" s="1"/>
  <c r="AL53" i="8" a="1"/>
  <c r="AL53" i="8" s="1"/>
  <c r="AL54" i="8" a="1"/>
  <c r="AL54" i="8" s="1"/>
  <c r="AL55" i="8" a="1"/>
  <c r="AL55" i="8" s="1"/>
  <c r="AL56" i="8" a="1"/>
  <c r="AL56" i="8" s="1"/>
  <c r="AL57" i="8" a="1"/>
  <c r="AL57" i="8" s="1"/>
  <c r="AL58" i="8" a="1"/>
  <c r="AL58" i="8" s="1"/>
  <c r="AL59" i="8" a="1"/>
  <c r="AL59" i="8" s="1"/>
  <c r="AL60" i="8" a="1"/>
  <c r="AL60" i="8" s="1"/>
  <c r="AL61" i="8" a="1"/>
  <c r="AL61" i="8" s="1"/>
  <c r="AL62" i="8" a="1"/>
  <c r="AL62" i="8" s="1"/>
  <c r="AL63" i="8" a="1"/>
  <c r="AL63" i="8" s="1"/>
  <c r="AL64" i="8" a="1"/>
  <c r="AL64" i="8" s="1"/>
  <c r="AL65" i="8" a="1"/>
  <c r="AL65" i="8" s="1"/>
  <c r="AL66" i="8" a="1"/>
  <c r="AL66" i="8" s="1"/>
  <c r="AL67" i="8" a="1"/>
  <c r="AL67" i="8" s="1"/>
  <c r="AL68" i="8" a="1"/>
  <c r="AL68" i="8" s="1"/>
  <c r="AL69" i="8" a="1"/>
  <c r="AL69" i="8" s="1"/>
  <c r="AL70" i="8" a="1"/>
  <c r="AL70" i="8" s="1"/>
  <c r="AL71" i="8" a="1"/>
  <c r="AL71" i="8" s="1"/>
  <c r="AL72" i="8" a="1"/>
  <c r="AL72" i="8" s="1"/>
  <c r="AL73" i="8" a="1"/>
  <c r="AL73" i="8" s="1"/>
  <c r="AL74" i="8" a="1"/>
  <c r="AL74" i="8" s="1"/>
  <c r="AL75" i="8" a="1"/>
  <c r="AL75" i="8" s="1"/>
  <c r="AL76" i="8" a="1"/>
  <c r="AL76" i="8" s="1"/>
  <c r="AL77" i="8" a="1"/>
  <c r="AL77" i="8" s="1"/>
  <c r="AL78" i="8" a="1"/>
  <c r="AL78" i="8" s="1"/>
  <c r="AL79" i="8" a="1"/>
  <c r="AL79" i="8" s="1"/>
  <c r="AL80" i="8" a="1"/>
  <c r="AL80" i="8" s="1"/>
  <c r="AL81" i="8" a="1"/>
  <c r="AL81" i="8" s="1"/>
  <c r="AL82" i="8" a="1"/>
  <c r="AL82" i="8" s="1"/>
  <c r="AL83" i="8" a="1"/>
  <c r="AL83" i="8" s="1"/>
  <c r="AL84" i="8" a="1"/>
  <c r="AL84" i="8" s="1"/>
  <c r="AL85" i="8" a="1"/>
  <c r="AL85" i="8" s="1"/>
  <c r="AL86" i="8" a="1"/>
  <c r="AL86" i="8" s="1"/>
  <c r="AL87" i="8" a="1"/>
  <c r="AL87" i="8" s="1"/>
  <c r="AL88" i="8" a="1"/>
  <c r="AL88" i="8" s="1"/>
  <c r="AL89" i="8" a="1"/>
  <c r="AL89" i="8" s="1"/>
  <c r="AL90" i="8" a="1"/>
  <c r="AL90" i="8" s="1"/>
  <c r="AL91" i="8" a="1"/>
  <c r="AL91" i="8" s="1"/>
  <c r="AL9" i="8" a="1"/>
  <c r="AL9" i="8" s="1"/>
  <c r="AL8" i="8" a="1"/>
  <c r="AL8" i="8" s="1"/>
  <c r="AL7" i="8" a="1"/>
  <c r="AL7" i="8" s="1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6" i="7"/>
  <c r="AJ7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I90" i="7"/>
  <c r="AI6" i="7"/>
  <c r="AK5" i="7"/>
  <c r="AJ5" i="7"/>
  <c r="AI5" i="7"/>
  <c r="AM7" i="8"/>
  <c r="AN7" i="8" s="1"/>
  <c r="AM8" i="8"/>
  <c r="AN8" i="8" s="1"/>
  <c r="AM9" i="8"/>
  <c r="AN9" i="8" s="1"/>
  <c r="AM10" i="8"/>
  <c r="AN10" i="8" s="1"/>
  <c r="AM11" i="8"/>
  <c r="AN11" i="8" s="1"/>
  <c r="AM12" i="8"/>
  <c r="AN12" i="8" s="1"/>
  <c r="AM15" i="8"/>
  <c r="AN15" i="8" s="1"/>
  <c r="AM16" i="8"/>
  <c r="AN16" i="8" s="1"/>
  <c r="AM17" i="8"/>
  <c r="AN17" i="8" s="1"/>
  <c r="AM18" i="8"/>
  <c r="AN18" i="8" s="1"/>
  <c r="AM19" i="8"/>
  <c r="AN19" i="8" s="1"/>
  <c r="AM20" i="8"/>
  <c r="AN20" i="8" s="1"/>
  <c r="AM21" i="8"/>
  <c r="AN21" i="8" s="1"/>
  <c r="AM22" i="8"/>
  <c r="AN22" i="8" s="1"/>
  <c r="AM23" i="8"/>
  <c r="AN23" i="8" s="1"/>
  <c r="AM24" i="8"/>
  <c r="AN24" i="8" s="1"/>
  <c r="AM25" i="8"/>
  <c r="AN25" i="8" s="1"/>
  <c r="AM26" i="8"/>
  <c r="AN26" i="8" s="1"/>
  <c r="AM27" i="8"/>
  <c r="AN27" i="8" s="1"/>
  <c r="AM28" i="8"/>
  <c r="AN28" i="8" s="1"/>
  <c r="AM29" i="8"/>
  <c r="AN29" i="8" s="1"/>
  <c r="AM30" i="8"/>
  <c r="AN30" i="8" s="1"/>
  <c r="AM31" i="8"/>
  <c r="AN31" i="8" s="1"/>
  <c r="AM32" i="8"/>
  <c r="AN32" i="8" s="1"/>
  <c r="AM33" i="8"/>
  <c r="AN33" i="8" s="1"/>
  <c r="AM34" i="8"/>
  <c r="AN34" i="8" s="1"/>
  <c r="AM35" i="8"/>
  <c r="AN35" i="8" s="1"/>
  <c r="AM36" i="8"/>
  <c r="AN36" i="8" s="1"/>
  <c r="AM37" i="8"/>
  <c r="AN37" i="8" s="1"/>
  <c r="AM38" i="8"/>
  <c r="AN38" i="8" s="1"/>
  <c r="AM39" i="8"/>
  <c r="AN39" i="8" s="1"/>
  <c r="AM40" i="8"/>
  <c r="AN40" i="8" s="1"/>
  <c r="AM41" i="8"/>
  <c r="AN41" i="8" s="1"/>
  <c r="AM42" i="8"/>
  <c r="AN42" i="8" s="1"/>
  <c r="AM43" i="8"/>
  <c r="AN43" i="8" s="1"/>
  <c r="AM44" i="8"/>
  <c r="AN44" i="8" s="1"/>
  <c r="AM45" i="8"/>
  <c r="AN45" i="8" s="1"/>
  <c r="AM46" i="8"/>
  <c r="AN46" i="8" s="1"/>
  <c r="AM47" i="8"/>
  <c r="AN47" i="8" s="1"/>
  <c r="AM48" i="8"/>
  <c r="AN48" i="8" s="1"/>
  <c r="AM49" i="8"/>
  <c r="AN49" i="8" s="1"/>
  <c r="AM50" i="8"/>
  <c r="AN50" i="8" s="1"/>
  <c r="AM51" i="8"/>
  <c r="AN51" i="8" s="1"/>
  <c r="AM52" i="8"/>
  <c r="AN52" i="8" s="1"/>
  <c r="AM53" i="8"/>
  <c r="AN53" i="8" s="1"/>
  <c r="AM54" i="8"/>
  <c r="AN54" i="8" s="1"/>
  <c r="AM55" i="8"/>
  <c r="AN55" i="8" s="1"/>
  <c r="AM56" i="8"/>
  <c r="AN56" i="8" s="1"/>
  <c r="AM57" i="8"/>
  <c r="AN57" i="8" s="1"/>
  <c r="AM58" i="8"/>
  <c r="AN58" i="8" s="1"/>
  <c r="AM59" i="8"/>
  <c r="AN59" i="8" s="1"/>
  <c r="AM60" i="8"/>
  <c r="AN60" i="8" s="1"/>
  <c r="AM61" i="8"/>
  <c r="AN61" i="8" s="1"/>
  <c r="AM62" i="8"/>
  <c r="AN62" i="8" s="1"/>
  <c r="AM63" i="8"/>
  <c r="AN63" i="8" s="1"/>
  <c r="AM64" i="8"/>
  <c r="AN64" i="8" s="1"/>
  <c r="AM65" i="8"/>
  <c r="AN65" i="8" s="1"/>
  <c r="AM66" i="8"/>
  <c r="AN66" i="8" s="1"/>
  <c r="AM67" i="8"/>
  <c r="AN67" i="8" s="1"/>
  <c r="AM68" i="8"/>
  <c r="AN68" i="8" s="1"/>
  <c r="AM69" i="8"/>
  <c r="AN69" i="8" s="1"/>
  <c r="AM70" i="8"/>
  <c r="AN70" i="8" s="1"/>
  <c r="AM71" i="8"/>
  <c r="AN71" i="8" s="1"/>
  <c r="AM72" i="8"/>
  <c r="AN72" i="8" s="1"/>
  <c r="AM73" i="8"/>
  <c r="AN73" i="8" s="1"/>
  <c r="AM74" i="8"/>
  <c r="AN74" i="8" s="1"/>
  <c r="AM75" i="8"/>
  <c r="AN75" i="8" s="1"/>
  <c r="AM76" i="8"/>
  <c r="AN76" i="8" s="1"/>
  <c r="AM77" i="8"/>
  <c r="AN77" i="8" s="1"/>
  <c r="AM78" i="8"/>
  <c r="AN78" i="8" s="1"/>
  <c r="AM79" i="8"/>
  <c r="AN79" i="8" s="1"/>
  <c r="AM80" i="8"/>
  <c r="AN80" i="8" s="1"/>
  <c r="AM81" i="8"/>
  <c r="AN81" i="8" s="1"/>
  <c r="AM82" i="8"/>
  <c r="AN82" i="8" s="1"/>
  <c r="AM83" i="8"/>
  <c r="AN83" i="8" s="1"/>
  <c r="AM84" i="8"/>
  <c r="AN84" i="8" s="1"/>
  <c r="AM85" i="8"/>
  <c r="AN85" i="8" s="1"/>
  <c r="AM86" i="8"/>
  <c r="AN86" i="8" s="1"/>
  <c r="AM87" i="8"/>
  <c r="AN87" i="8" s="1"/>
  <c r="AM88" i="8"/>
  <c r="AN88" i="8" s="1"/>
  <c r="AM89" i="8"/>
  <c r="AN89" i="8" s="1"/>
  <c r="AM90" i="8"/>
  <c r="AN90" i="8" s="1"/>
  <c r="AM91" i="8"/>
  <c r="AN91" i="8" s="1"/>
  <c r="AM6" i="8"/>
  <c r="G3" i="8" l="1"/>
  <c r="R3" i="8"/>
  <c r="Y3" i="8"/>
  <c r="AE3" i="8"/>
  <c r="AK3" i="7"/>
  <c r="AJ3" i="7"/>
  <c r="AI3" i="7"/>
  <c r="AN6" i="8"/>
  <c r="C4" i="7" l="1"/>
  <c r="B4" i="7"/>
  <c r="D5" i="8"/>
  <c r="L1" i="2" l="1"/>
  <c r="K1" i="2" l="1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<sst xmlns="http://schemas.openxmlformats.org/spreadsheetml/2006/main" count="1732" uniqueCount="214">
  <si>
    <t>Department</t>
  </si>
  <si>
    <t>PREPRATION</t>
  </si>
  <si>
    <t>WRT</t>
  </si>
  <si>
    <t>Strap fitting</t>
  </si>
  <si>
    <t>RTV</t>
  </si>
  <si>
    <t>Store</t>
  </si>
  <si>
    <t>FG</t>
  </si>
  <si>
    <t>PPC</t>
  </si>
  <si>
    <t>REDD</t>
  </si>
  <si>
    <t>Training</t>
  </si>
  <si>
    <t>Manjot</t>
  </si>
  <si>
    <t>Bandana</t>
  </si>
  <si>
    <t>ARUNA</t>
  </si>
  <si>
    <t>Kusum</t>
  </si>
  <si>
    <t>Ganga</t>
  </si>
  <si>
    <t>Renu</t>
  </si>
  <si>
    <t>Anuradha</t>
  </si>
  <si>
    <t>BASANT</t>
  </si>
  <si>
    <t>Ranju</t>
  </si>
  <si>
    <t>Vaishali</t>
  </si>
  <si>
    <t>Munisha</t>
  </si>
  <si>
    <t>Deepika-2</t>
  </si>
  <si>
    <t>Lalita</t>
  </si>
  <si>
    <t>Pallavi</t>
  </si>
  <si>
    <t>Kamal</t>
  </si>
  <si>
    <t>Suman</t>
  </si>
  <si>
    <t>DIWANSHI</t>
  </si>
  <si>
    <t>ANISHA</t>
  </si>
  <si>
    <t>Tara</t>
  </si>
  <si>
    <t>Nagita</t>
  </si>
  <si>
    <t>Sakshi-2</t>
  </si>
  <si>
    <t>Anjana</t>
  </si>
  <si>
    <t>SUSHMA</t>
  </si>
  <si>
    <t>VISHAKHA</t>
  </si>
  <si>
    <t>MEENA-2</t>
  </si>
  <si>
    <t>JIWAN</t>
  </si>
  <si>
    <t>PINKI</t>
  </si>
  <si>
    <t>EMPLOYEE IN DEPARTMENT</t>
  </si>
  <si>
    <t>Name</t>
  </si>
  <si>
    <t>CONTRACT/ REGULAR</t>
  </si>
  <si>
    <t>MALE/FEMALE</t>
  </si>
  <si>
    <t>Staff/ Associate</t>
  </si>
  <si>
    <t>REGULAR</t>
  </si>
  <si>
    <t>MALE</t>
  </si>
  <si>
    <t>ASSEMBLY</t>
  </si>
  <si>
    <t>FEMALE</t>
  </si>
  <si>
    <t>POOJA NEGI</t>
  </si>
  <si>
    <t>CASING</t>
  </si>
  <si>
    <t>Associate</t>
  </si>
  <si>
    <t>BANTHA</t>
  </si>
  <si>
    <t>MADHU</t>
  </si>
  <si>
    <t>HARDAI</t>
  </si>
  <si>
    <t>ANJU-2</t>
  </si>
  <si>
    <t>CONTRACT</t>
  </si>
  <si>
    <t>Shakshi</t>
  </si>
  <si>
    <t>HAND FITTING</t>
  </si>
  <si>
    <t>MAMTA</t>
  </si>
  <si>
    <t>HANDS FITTING</t>
  </si>
  <si>
    <t>CHAMPA</t>
  </si>
  <si>
    <t>DEEPIKA-3</t>
  </si>
  <si>
    <t>POONAM</t>
  </si>
  <si>
    <t>DEEPIKA-1</t>
  </si>
  <si>
    <t>WIND STEM</t>
  </si>
  <si>
    <t>KIRAN</t>
  </si>
  <si>
    <t>BACK COVER</t>
  </si>
  <si>
    <t>O RING</t>
  </si>
  <si>
    <t>MEENA</t>
  </si>
  <si>
    <t>DIAL FITTING</t>
  </si>
  <si>
    <t>SHEELU</t>
  </si>
  <si>
    <t>Mamta-2</t>
  </si>
  <si>
    <t>NAPS</t>
  </si>
  <si>
    <t xml:space="preserve">TIME SETTING </t>
  </si>
  <si>
    <t>NEHA</t>
  </si>
  <si>
    <t>TIME SETTING</t>
  </si>
  <si>
    <t>ANJU</t>
  </si>
  <si>
    <t>MANJU</t>
  </si>
  <si>
    <t>PREP</t>
  </si>
  <si>
    <t>LATA</t>
  </si>
  <si>
    <t>LASER MARKING</t>
  </si>
  <si>
    <t>MAHAMAYA</t>
  </si>
  <si>
    <t>LASER</t>
  </si>
  <si>
    <t>BEENA-2</t>
  </si>
  <si>
    <t>KEY STEM</t>
  </si>
  <si>
    <t>NPD</t>
  </si>
  <si>
    <t>TANUJA</t>
  </si>
  <si>
    <t>Parvesh</t>
  </si>
  <si>
    <t>SALVAGE</t>
  </si>
  <si>
    <t>Vipasha</t>
  </si>
  <si>
    <t>PRIYANKA-2</t>
  </si>
  <si>
    <t>SUMITRA</t>
  </si>
  <si>
    <t>CHANDRESH</t>
  </si>
  <si>
    <t>MODULES</t>
  </si>
  <si>
    <t>VARSHA</t>
  </si>
  <si>
    <t>Heena</t>
  </si>
  <si>
    <t>PRIYANKA-1</t>
  </si>
  <si>
    <t>Beena-1</t>
  </si>
  <si>
    <t>STRAPING</t>
  </si>
  <si>
    <t>Pushpa</t>
  </si>
  <si>
    <t>KANCHAN</t>
  </si>
  <si>
    <t>AARTI</t>
  </si>
  <si>
    <t>PRADUMAN</t>
  </si>
  <si>
    <t>Risha</t>
  </si>
  <si>
    <t>SHUBHLATA</t>
  </si>
  <si>
    <t>SUNITA-1</t>
  </si>
  <si>
    <t>POONAM-2</t>
  </si>
  <si>
    <t>GEETA</t>
  </si>
  <si>
    <t>PRATIKSHA</t>
  </si>
  <si>
    <t>MANISHA</t>
  </si>
  <si>
    <t>Virender</t>
  </si>
  <si>
    <t>SANJANA</t>
  </si>
  <si>
    <t>STORE</t>
  </si>
  <si>
    <t>PANKAJ</t>
  </si>
  <si>
    <t xml:space="preserve">MANISH </t>
  </si>
  <si>
    <t>Shushma-2</t>
  </si>
  <si>
    <t>Kritika</t>
  </si>
  <si>
    <t>MANOJ</t>
  </si>
  <si>
    <t>ROHIT</t>
  </si>
  <si>
    <t>Naresh</t>
  </si>
  <si>
    <t>QUALITY</t>
  </si>
  <si>
    <t>QLTY</t>
  </si>
  <si>
    <t>IGI</t>
  </si>
  <si>
    <t>Seema</t>
  </si>
  <si>
    <t>Lucky</t>
  </si>
  <si>
    <t>JASVINDER</t>
  </si>
  <si>
    <t>cONTRACT</t>
  </si>
  <si>
    <t>assembly</t>
  </si>
  <si>
    <t>NPS</t>
  </si>
  <si>
    <t>PRESENT</t>
  </si>
  <si>
    <t>Ritika</t>
  </si>
  <si>
    <t>Ritu</t>
  </si>
  <si>
    <t>Krishan Pal</t>
  </si>
  <si>
    <t>Tamanna</t>
  </si>
  <si>
    <t>Pushpinder</t>
  </si>
  <si>
    <t>LEVELING</t>
  </si>
  <si>
    <t>ABSENT</t>
  </si>
  <si>
    <t>S.NO</t>
  </si>
  <si>
    <t xml:space="preserve"> </t>
  </si>
  <si>
    <t>MONTH</t>
  </si>
  <si>
    <t>MARCH</t>
  </si>
  <si>
    <t>APRIL</t>
  </si>
  <si>
    <t>AUGUST</t>
  </si>
  <si>
    <t>SEPTEMBER</t>
  </si>
  <si>
    <t>NOVEMBER</t>
  </si>
  <si>
    <t>DECEMBER</t>
  </si>
  <si>
    <t>JANUARY</t>
  </si>
  <si>
    <t xml:space="preserve">FEBRUARY </t>
  </si>
  <si>
    <t>MAY</t>
  </si>
  <si>
    <t xml:space="preserve">JUNE </t>
  </si>
  <si>
    <t>JULY</t>
  </si>
  <si>
    <t xml:space="preserve">OCTOBER </t>
  </si>
  <si>
    <t>YEAR</t>
  </si>
  <si>
    <t>DATE</t>
  </si>
  <si>
    <t>Absent Percentage</t>
  </si>
  <si>
    <t>TOTAL STRENGTH=  2408</t>
  </si>
  <si>
    <t>AVL STRENGTH</t>
  </si>
  <si>
    <t>TOTAL ABSENT</t>
  </si>
  <si>
    <t>TOTAL ABSENT PERCENTAGE</t>
  </si>
  <si>
    <t>Dates</t>
  </si>
  <si>
    <t>SL</t>
  </si>
  <si>
    <t>WL</t>
  </si>
  <si>
    <t>Absent</t>
  </si>
  <si>
    <t xml:space="preserve"> SL</t>
  </si>
  <si>
    <t>total SL%</t>
  </si>
  <si>
    <t>Total WL%</t>
  </si>
  <si>
    <t>Total Absent %</t>
  </si>
  <si>
    <t xml:space="preserve"> DATE</t>
  </si>
  <si>
    <t>TOTAL STRENGTH/ AVAILABLE  STRENGTH</t>
  </si>
  <si>
    <t>JRK</t>
  </si>
  <si>
    <t>Production MANAGER</t>
  </si>
  <si>
    <t>STAFF</t>
  </si>
  <si>
    <t>VINNY</t>
  </si>
  <si>
    <t>SUPERVIOSER</t>
  </si>
  <si>
    <t>Shivani-2</t>
  </si>
  <si>
    <t>NISHA</t>
  </si>
  <si>
    <t>MONIKA</t>
  </si>
  <si>
    <t>LAVELLING</t>
  </si>
  <si>
    <t>LATA-1</t>
  </si>
  <si>
    <t>LATA-2</t>
  </si>
  <si>
    <t>UMA</t>
  </si>
  <si>
    <t>SUPERVISOR</t>
  </si>
  <si>
    <t>ATUL</t>
  </si>
  <si>
    <t>RAJNIKA</t>
  </si>
  <si>
    <t>NEELAM</t>
  </si>
  <si>
    <t>SANDHYA</t>
  </si>
  <si>
    <t xml:space="preserve">Bhupinder </t>
  </si>
  <si>
    <t>Store HEAD</t>
  </si>
  <si>
    <t>RAKESH</t>
  </si>
  <si>
    <t>Ankush</t>
  </si>
  <si>
    <t>Rakesh</t>
  </si>
  <si>
    <t>Khushal</t>
  </si>
  <si>
    <t xml:space="preserve">QLTY </t>
  </si>
  <si>
    <t xml:space="preserve">Sapna </t>
  </si>
  <si>
    <t>Vishal</t>
  </si>
  <si>
    <t>Ajay</t>
  </si>
  <si>
    <t>SACHIN</t>
  </si>
  <si>
    <t>Anurag</t>
  </si>
  <si>
    <t>Shashank</t>
  </si>
  <si>
    <t>Pur</t>
  </si>
  <si>
    <t>Deepak</t>
  </si>
  <si>
    <t>Vineet</t>
  </si>
  <si>
    <t>FIN</t>
  </si>
  <si>
    <t>GK</t>
  </si>
  <si>
    <t>Management</t>
  </si>
  <si>
    <t>Virender(HR)</t>
  </si>
  <si>
    <t>Anita</t>
  </si>
  <si>
    <t>Rajni</t>
  </si>
  <si>
    <t>Mala</t>
  </si>
  <si>
    <t>Abhishek</t>
  </si>
  <si>
    <t>Rajat</t>
  </si>
  <si>
    <t>NEERAJ</t>
  </si>
  <si>
    <t>Nikhil</t>
  </si>
  <si>
    <t>Sale</t>
  </si>
  <si>
    <t>SHIVANI-1</t>
  </si>
  <si>
    <t>HIMTECH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</si>
</sst>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theme="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7" tint="0.39997558519241921"/>
        <bgColor theme="4"/>
      </patternFill>
    </fill>
    <fill>
      <patternFill patternType="solid">
        <fgColor theme="9" tint="0.39997558519241921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theme="4"/>
      </patternFill>
    </fill>
    <fill>
      <patternFill patternType="solid">
        <fgColor rgb="FFBDD7EE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C65911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theme="4"/>
      </patternFill>
    </fill>
    <fill>
      <patternFill patternType="solid">
        <fgColor theme="9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">
    <xf numFmtId="0" fontId="0" fillId="0" borderId="0"/>
    <xf numFmtId="0" fontId="3" fillId="0" borderId="0"/>
    <xf numFmtId="9" fontId="13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top"/>
    </xf>
    <xf numFmtId="0" fontId="5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8" fillId="2" borderId="9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/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12" xfId="0" applyBorder="1" applyAlignment="1">
      <alignment horizontal="center" vertical="top"/>
    </xf>
    <xf numFmtId="14" fontId="2" fillId="0" borderId="3" xfId="0" applyNumberFormat="1" applyFont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2" fillId="0" borderId="1" xfId="0" applyFont="1" applyBorder="1"/>
    <xf numFmtId="0" fontId="11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11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top"/>
    </xf>
    <xf numFmtId="14" fontId="0" fillId="0" borderId="1" xfId="0" applyNumberFormat="1" applyBorder="1"/>
    <xf numFmtId="0" fontId="2" fillId="0" borderId="1" xfId="0" applyFont="1" applyBorder="1" applyAlignment="1">
      <alignment horizontal="center" vertical="top"/>
    </xf>
    <xf numFmtId="14" fontId="10" fillId="2" borderId="15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left" vertical="center"/>
    </xf>
    <xf numFmtId="0" fontId="15" fillId="6" borderId="1" xfId="0" applyFont="1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/>
    </xf>
    <xf numFmtId="14" fontId="10" fillId="2" borderId="12" xfId="0" applyNumberFormat="1" applyFont="1" applyFill="1" applyBorder="1" applyAlignment="1">
      <alignment horizontal="center" vertical="center"/>
    </xf>
    <xf numFmtId="14" fontId="14" fillId="17" borderId="22" xfId="0" applyNumberFormat="1" applyFont="1" applyFill="1" applyBorder="1" applyAlignment="1">
      <alignment horizontal="center" vertical="center"/>
    </xf>
    <xf numFmtId="14" fontId="14" fillId="11" borderId="25" xfId="0" applyNumberFormat="1" applyFont="1" applyFill="1" applyBorder="1" applyAlignment="1">
      <alignment horizontal="center" vertical="center"/>
    </xf>
    <xf numFmtId="14" fontId="14" fillId="18" borderId="2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3" borderId="4" xfId="0" applyFont="1" applyFill="1" applyBorder="1" applyAlignment="1">
      <alignment horizontal="center" vertical="center" wrapText="1"/>
    </xf>
    <xf numFmtId="0" fontId="2" fillId="21" borderId="4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/>
    </xf>
    <xf numFmtId="0" fontId="2" fillId="20" borderId="29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0" fontId="2" fillId="13" borderId="34" xfId="0" applyFont="1" applyFill="1" applyBorder="1" applyAlignment="1">
      <alignment horizontal="center" vertical="center" wrapText="1"/>
    </xf>
    <xf numFmtId="9" fontId="2" fillId="13" borderId="1" xfId="2" applyFont="1" applyFill="1" applyBorder="1" applyAlignment="1" applyProtection="1">
      <alignment horizontal="center" vertical="center"/>
    </xf>
    <xf numFmtId="0" fontId="16" fillId="14" borderId="20" xfId="0" applyFont="1" applyFill="1" applyBorder="1" applyAlignment="1">
      <alignment horizontal="center" vertical="center"/>
    </xf>
    <xf numFmtId="0" fontId="2" fillId="10" borderId="22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 wrapText="1"/>
    </xf>
    <xf numFmtId="0" fontId="16" fillId="16" borderId="21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14" fillId="2" borderId="23" xfId="0" applyFont="1" applyFill="1" applyBorder="1" applyAlignment="1">
      <alignment horizontal="center" vertical="center"/>
    </xf>
    <xf numFmtId="164" fontId="14" fillId="2" borderId="7" xfId="2" applyNumberFormat="1" applyFont="1" applyFill="1" applyBorder="1" applyAlignment="1" applyProtection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textRotation="90"/>
    </xf>
    <xf numFmtId="0" fontId="2" fillId="0" borderId="1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9" fontId="2" fillId="0" borderId="1" xfId="2" applyFont="1" applyBorder="1" applyProtection="1">
      <extLst>
        <ext xmlns:xfpb="http://schemas.microsoft.com/office/spreadsheetml/2022/featurepropertybag" uri="{C7286773-470A-42A8-94C5-96B5CB345126}">
          <xfpb:xfComplement i="0"/>
        </ext>
      </extLst>
    </xf>
    <xf numFmtId="9" fontId="0" fillId="0" borderId="1" xfId="0" applyNumberFormat="1" applyBorder="1"/>
    <xf numFmtId="0" fontId="11" fillId="2" borderId="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2" borderId="1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2" borderId="1" xfId="0" applyFont="1" applyFill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2" borderId="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1" xfId="0" applyFon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3" xfId="0" applyFill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top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7" fillId="2" borderId="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5" fillId="2" borderId="37" xfId="2" applyFont="1" applyFill="1" applyBorder="1" applyAlignment="1">
      <alignment horizontal="center" vertical="center"/>
    </xf>
    <xf numFmtId="14" fontId="2" fillId="0" borderId="30" xfId="0" applyNumberFormat="1" applyFont="1" applyBorder="1" applyAlignment="1">
      <alignment horizontal="left" vertical="center"/>
    </xf>
    <xf numFmtId="14" fontId="2" fillId="0" borderId="5" xfId="0" applyNumberFormat="1" applyFont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" fillId="20" borderId="29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5" fillId="4" borderId="2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20" borderId="22" xfId="0" applyFont="1" applyFill="1" applyBorder="1" applyAlignment="1">
      <alignment horizontal="center" vertical="center"/>
    </xf>
    <xf numFmtId="0" fontId="2" fillId="22" borderId="29" xfId="0" applyFont="1" applyFill="1" applyBorder="1" applyAlignment="1">
      <alignment horizontal="center" vertical="center"/>
    </xf>
    <xf numFmtId="14" fontId="4" fillId="3" borderId="5" xfId="0" applyNumberFormat="1" applyFont="1" applyFill="1" applyBorder="1" applyAlignment="1">
      <alignment horizontal="center" vertical="center" wrapText="1"/>
    </xf>
    <xf numFmtId="14" fontId="4" fillId="3" borderId="4" xfId="0" applyNumberFormat="1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14" fontId="10" fillId="2" borderId="26" xfId="0" applyNumberFormat="1" applyFont="1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12" borderId="18" xfId="0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1" fillId="19" borderId="27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2" fillId="9" borderId="16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175"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color rgb="FFFF0000"/>
      </font>
    </dxf>
    <dxf>
      <font>
        <strike/>
        <color rgb="FFFF0000"/>
      </font>
    </dxf>
    <dxf>
      <font>
        <color theme="4" tint="-0.499984740745262"/>
      </font>
    </dxf>
    <dxf>
      <font>
        <color rgb="FFFFFF00"/>
      </font>
    </dxf>
    <dxf>
      <font>
        <color rgb="FFFF0000"/>
      </font>
    </dxf>
    <dxf>
      <font>
        <b/>
        <i/>
        <color rgb="FFFFC000"/>
      </font>
    </dxf>
    <dxf>
      <font>
        <color theme="1"/>
      </font>
    </dxf>
    <dxf>
      <font>
        <b/>
        <i/>
        <color rgb="FFFFC000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B0151EA-4274-4F87-AE63-16FBE117FC7A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C369"/>
  <sheetViews>
    <sheetView topLeftCell="B1" zoomScale="62" zoomScaleNormal="40" workbookViewId="0">
      <selection activeCell="F32" sqref="F32"/>
    </sheetView>
  </sheetViews>
  <sheetFormatPr defaultRowHeight="14.5" x14ac:dyDescent="0.35"/>
  <cols>
    <col min="1" max="1" width="14.54296875" style="1" hidden="1" customWidth="1"/>
    <col min="2" max="2" width="14.54296875" style="1" customWidth="1"/>
    <col min="3" max="3" width="15.54296875" style="64" bestFit="1" customWidth="1"/>
    <col min="4" max="4" width="17" style="1" customWidth="1"/>
    <col min="5" max="5" width="12.6328125" style="34" bestFit="1" customWidth="1"/>
    <col min="6" max="6" width="20.54296875" style="1" bestFit="1" customWidth="1"/>
    <col min="7" max="7" width="20.453125" style="1" bestFit="1" customWidth="1"/>
    <col min="8" max="8" width="15.26953125" style="1" bestFit="1" customWidth="1"/>
    <col min="9" max="9" width="14.90625" style="32" customWidth="1"/>
    <col min="10" max="10" width="12.08984375" style="32" customWidth="1"/>
    <col min="11" max="11" width="13.6328125" customWidth="1"/>
    <col min="12" max="12" width="15" customWidth="1"/>
    <col min="55" max="55" width="10.08984375" bestFit="1" customWidth="1"/>
  </cols>
  <sheetData>
    <row r="1" spans="1:55" ht="15" thickTop="1" x14ac:dyDescent="0.35">
      <c r="A1" s="123">
        <f ca="1">TODAY()+A1:CI30</f>
        <v>0</v>
      </c>
      <c r="B1" s="131" t="s">
        <v>135</v>
      </c>
      <c r="C1" s="133"/>
      <c r="D1" s="125" t="s">
        <v>37</v>
      </c>
      <c r="E1" s="127" t="s">
        <v>38</v>
      </c>
      <c r="F1" s="129" t="s">
        <v>0</v>
      </c>
      <c r="G1" s="129" t="s">
        <v>39</v>
      </c>
      <c r="H1" s="129" t="s">
        <v>40</v>
      </c>
      <c r="I1" s="129" t="s">
        <v>41</v>
      </c>
      <c r="J1" s="129" t="s">
        <v>151</v>
      </c>
      <c r="K1" s="135">
        <f>SUBTOTAL(9,K4:K150)</f>
        <v>86</v>
      </c>
      <c r="L1" s="135">
        <f>SUBTOTAL(9,L4:L150)</f>
        <v>0</v>
      </c>
    </row>
    <row r="2" spans="1:55" ht="15" thickBot="1" x14ac:dyDescent="0.4">
      <c r="A2" s="124"/>
      <c r="B2" s="132"/>
      <c r="C2" s="134"/>
      <c r="D2" s="126"/>
      <c r="E2" s="128"/>
      <c r="F2" s="130"/>
      <c r="G2" s="130"/>
      <c r="H2" s="130"/>
      <c r="I2" s="130"/>
      <c r="J2" s="136"/>
      <c r="K2" s="135"/>
      <c r="L2" s="135"/>
    </row>
    <row r="3" spans="1:55" ht="63.5" customHeight="1" thickTop="1" thickBot="1" x14ac:dyDescent="0.4">
      <c r="A3" s="5"/>
      <c r="B3" s="57"/>
      <c r="C3" s="74" t="s">
        <v>166</v>
      </c>
      <c r="D3" s="73" t="s">
        <v>154</v>
      </c>
      <c r="E3" s="37"/>
      <c r="F3" s="37"/>
      <c r="G3" s="37"/>
      <c r="H3" s="37"/>
      <c r="I3" s="38"/>
      <c r="J3" s="36">
        <v>46083</v>
      </c>
      <c r="K3" s="60" t="s">
        <v>127</v>
      </c>
      <c r="L3" s="61" t="s">
        <v>134</v>
      </c>
    </row>
    <row r="4" spans="1:55" x14ac:dyDescent="0.35">
      <c r="A4" s="26">
        <v>3</v>
      </c>
      <c r="B4" s="26">
        <v>1</v>
      </c>
      <c r="C4" s="121">
        <f>COUNTIF(F:F,"CASING")</f>
        <v>9</v>
      </c>
      <c r="D4" s="118" t="s">
        <v>44</v>
      </c>
      <c r="E4" s="72" t="s">
        <v>46</v>
      </c>
      <c r="F4" s="30" t="s">
        <v>47</v>
      </c>
      <c r="G4" s="3" t="s">
        <v>42</v>
      </c>
      <c r="H4" s="14" t="s">
        <v>45</v>
      </c>
      <c r="I4" s="35" t="s">
        <v>48</v>
      </c>
      <c r="J4" s="59" t="b">
        <v>0</v>
      </c>
      <c r="K4" s="4">
        <v>1</v>
      </c>
      <c r="L4" s="4">
        <v>0</v>
      </c>
    </row>
    <row r="5" spans="1:55" x14ac:dyDescent="0.35">
      <c r="A5" s="26">
        <v>4</v>
      </c>
      <c r="B5" s="26">
        <v>2</v>
      </c>
      <c r="C5" s="116"/>
      <c r="D5" s="119"/>
      <c r="E5" s="65" t="s">
        <v>49</v>
      </c>
      <c r="F5" s="20" t="s">
        <v>47</v>
      </c>
      <c r="G5" s="2" t="s">
        <v>42</v>
      </c>
      <c r="H5" s="6" t="s">
        <v>45</v>
      </c>
      <c r="I5" s="7" t="s">
        <v>48</v>
      </c>
      <c r="J5" s="59" t="b">
        <v>0</v>
      </c>
      <c r="K5" s="4">
        <v>1</v>
      </c>
      <c r="L5" s="4">
        <v>0</v>
      </c>
      <c r="O5" t="s">
        <v>136</v>
      </c>
      <c r="BC5" s="27"/>
    </row>
    <row r="6" spans="1:55" x14ac:dyDescent="0.35">
      <c r="A6" s="26">
        <v>5</v>
      </c>
      <c r="B6" s="26">
        <v>3</v>
      </c>
      <c r="C6" s="116"/>
      <c r="D6" s="119"/>
      <c r="E6" s="65" t="s">
        <v>50</v>
      </c>
      <c r="F6" s="20" t="s">
        <v>47</v>
      </c>
      <c r="G6" s="2" t="s">
        <v>42</v>
      </c>
      <c r="H6" s="6" t="s">
        <v>45</v>
      </c>
      <c r="I6" s="7" t="s">
        <v>48</v>
      </c>
      <c r="J6" s="59" t="b">
        <v>0</v>
      </c>
      <c r="K6" s="4">
        <v>1</v>
      </c>
      <c r="L6" s="4">
        <v>0</v>
      </c>
      <c r="BC6" s="27"/>
    </row>
    <row r="7" spans="1:55" x14ac:dyDescent="0.35">
      <c r="A7" s="26">
        <v>6</v>
      </c>
      <c r="B7" s="26">
        <v>4</v>
      </c>
      <c r="C7" s="116"/>
      <c r="D7" s="119"/>
      <c r="E7" s="65" t="s">
        <v>51</v>
      </c>
      <c r="F7" s="20" t="s">
        <v>47</v>
      </c>
      <c r="G7" s="2" t="s">
        <v>42</v>
      </c>
      <c r="H7" s="6" t="s">
        <v>45</v>
      </c>
      <c r="I7" s="7" t="s">
        <v>48</v>
      </c>
      <c r="J7" s="59" t="b">
        <v>0</v>
      </c>
      <c r="K7" s="4">
        <v>1</v>
      </c>
      <c r="L7" s="4">
        <v>0</v>
      </c>
      <c r="BC7" s="27"/>
    </row>
    <row r="8" spans="1:55" x14ac:dyDescent="0.35">
      <c r="A8" s="26"/>
      <c r="B8" s="26">
        <v>5</v>
      </c>
      <c r="C8" s="116"/>
      <c r="D8" s="119"/>
      <c r="E8" s="66" t="s">
        <v>52</v>
      </c>
      <c r="F8" s="20" t="s">
        <v>47</v>
      </c>
      <c r="G8" s="2" t="s">
        <v>53</v>
      </c>
      <c r="H8" s="6" t="s">
        <v>45</v>
      </c>
      <c r="I8" s="7" t="s">
        <v>48</v>
      </c>
      <c r="J8" s="59" t="b">
        <v>0</v>
      </c>
      <c r="K8" s="4">
        <v>1</v>
      </c>
      <c r="L8" s="4">
        <v>0</v>
      </c>
      <c r="BC8" s="27"/>
    </row>
    <row r="9" spans="1:55" x14ac:dyDescent="0.35">
      <c r="A9" s="26">
        <v>8</v>
      </c>
      <c r="B9" s="26">
        <v>6</v>
      </c>
      <c r="C9" s="117" cm="1">
        <f t="array" ref="C9">SUMPRODUCT(--(K4:K12=1))</f>
        <v>9</v>
      </c>
      <c r="D9" s="119"/>
      <c r="E9" s="66" t="s">
        <v>26</v>
      </c>
      <c r="F9" s="20" t="s">
        <v>47</v>
      </c>
      <c r="G9" s="2" t="s">
        <v>53</v>
      </c>
      <c r="H9" s="6" t="s">
        <v>45</v>
      </c>
      <c r="I9" s="7" t="s">
        <v>48</v>
      </c>
      <c r="J9" s="59" t="b">
        <v>0</v>
      </c>
      <c r="K9" s="4">
        <v>1</v>
      </c>
      <c r="L9" s="4">
        <v>0</v>
      </c>
      <c r="BC9" s="27"/>
    </row>
    <row r="10" spans="1:55" x14ac:dyDescent="0.35">
      <c r="A10" s="26"/>
      <c r="B10" s="26">
        <v>7</v>
      </c>
      <c r="C10" s="117"/>
      <c r="D10" s="119"/>
      <c r="E10" s="66" t="s">
        <v>54</v>
      </c>
      <c r="F10" s="20" t="s">
        <v>47</v>
      </c>
      <c r="G10" s="2" t="s">
        <v>53</v>
      </c>
      <c r="H10" s="6" t="s">
        <v>45</v>
      </c>
      <c r="I10" s="7" t="s">
        <v>48</v>
      </c>
      <c r="J10" s="59" t="b">
        <v>0</v>
      </c>
      <c r="K10" s="4">
        <v>1</v>
      </c>
      <c r="L10" s="4">
        <v>0</v>
      </c>
      <c r="BC10" s="27"/>
    </row>
    <row r="11" spans="1:55" x14ac:dyDescent="0.35">
      <c r="A11" s="26"/>
      <c r="B11" s="26">
        <v>8</v>
      </c>
      <c r="C11" s="117"/>
      <c r="D11" s="119"/>
      <c r="E11" s="66" t="s">
        <v>30</v>
      </c>
      <c r="F11" s="24" t="s">
        <v>47</v>
      </c>
      <c r="G11" s="9" t="s">
        <v>53</v>
      </c>
      <c r="H11" s="6" t="s">
        <v>45</v>
      </c>
      <c r="I11" s="7" t="s">
        <v>48</v>
      </c>
      <c r="J11" s="59" t="b">
        <v>0</v>
      </c>
      <c r="K11" s="4">
        <v>1</v>
      </c>
      <c r="L11" s="4">
        <v>0</v>
      </c>
      <c r="BC11" s="27"/>
    </row>
    <row r="12" spans="1:55" ht="18.75" customHeight="1" x14ac:dyDescent="0.35">
      <c r="A12" s="26">
        <v>11</v>
      </c>
      <c r="B12" s="26">
        <v>9</v>
      </c>
      <c r="C12" s="117"/>
      <c r="D12" s="119"/>
      <c r="E12" s="65" t="s">
        <v>33</v>
      </c>
      <c r="F12" s="20" t="s">
        <v>47</v>
      </c>
      <c r="G12" s="2" t="s">
        <v>53</v>
      </c>
      <c r="H12" s="6" t="s">
        <v>45</v>
      </c>
      <c r="I12" s="7" t="s">
        <v>48</v>
      </c>
      <c r="J12" s="59" t="b">
        <v>0</v>
      </c>
      <c r="K12" s="4">
        <v>1</v>
      </c>
      <c r="L12" s="4">
        <v>0</v>
      </c>
      <c r="BC12" s="27"/>
    </row>
    <row r="13" spans="1:55" ht="18.75" customHeight="1" x14ac:dyDescent="0.35">
      <c r="A13" s="26">
        <v>13</v>
      </c>
      <c r="B13" s="26">
        <v>10</v>
      </c>
      <c r="C13" s="71">
        <f>COUNTIF(F:F,"HANDS FITTING")</f>
        <v>2</v>
      </c>
      <c r="D13" s="119" t="s">
        <v>55</v>
      </c>
      <c r="E13" s="66" t="s">
        <v>56</v>
      </c>
      <c r="F13" s="15" t="s">
        <v>57</v>
      </c>
      <c r="G13" s="2" t="s">
        <v>42</v>
      </c>
      <c r="H13" s="6" t="s">
        <v>45</v>
      </c>
      <c r="I13" s="7" t="s">
        <v>48</v>
      </c>
      <c r="J13" s="59" t="b">
        <v>0</v>
      </c>
      <c r="K13" s="4">
        <v>1</v>
      </c>
      <c r="L13" s="4">
        <v>0</v>
      </c>
      <c r="BC13" s="27"/>
    </row>
    <row r="14" spans="1:55" ht="18.75" customHeight="1" x14ac:dyDescent="0.35">
      <c r="A14" s="26">
        <v>15</v>
      </c>
      <c r="B14" s="26">
        <v>11</v>
      </c>
      <c r="C14" s="58" cm="1">
        <f t="array" ref="C14">SUMPRODUCT(--(K13:K14=1))</f>
        <v>2</v>
      </c>
      <c r="D14" s="119"/>
      <c r="E14" s="67" t="s">
        <v>58</v>
      </c>
      <c r="F14" s="15" t="s">
        <v>57</v>
      </c>
      <c r="G14" s="2" t="s">
        <v>53</v>
      </c>
      <c r="H14" s="6" t="s">
        <v>45</v>
      </c>
      <c r="I14" s="7" t="s">
        <v>48</v>
      </c>
      <c r="J14" s="59" t="b">
        <v>0</v>
      </c>
      <c r="K14" s="4">
        <v>1</v>
      </c>
      <c r="L14" s="4">
        <v>0</v>
      </c>
      <c r="BC14" s="27"/>
    </row>
    <row r="15" spans="1:55" ht="18.75" customHeight="1" x14ac:dyDescent="0.35">
      <c r="A15" s="26"/>
      <c r="B15" s="26">
        <v>12</v>
      </c>
      <c r="C15" s="71">
        <f>COUNTIF(F:F,"LEVELING")</f>
        <v>3</v>
      </c>
      <c r="D15" s="119" t="s">
        <v>133</v>
      </c>
      <c r="E15" s="66" t="s">
        <v>59</v>
      </c>
      <c r="F15" s="15" t="s">
        <v>133</v>
      </c>
      <c r="G15" s="2" t="s">
        <v>53</v>
      </c>
      <c r="H15" s="6" t="s">
        <v>45</v>
      </c>
      <c r="I15" s="7" t="s">
        <v>48</v>
      </c>
      <c r="J15" s="59" t="b">
        <v>0</v>
      </c>
      <c r="K15" s="4">
        <v>1</v>
      </c>
      <c r="L15" s="4">
        <v>0</v>
      </c>
      <c r="BC15" s="27"/>
    </row>
    <row r="16" spans="1:55" ht="18.75" customHeight="1" thickBot="1" x14ac:dyDescent="0.4">
      <c r="A16" s="26"/>
      <c r="B16" s="26">
        <v>13</v>
      </c>
      <c r="C16" s="117" cm="1">
        <f t="array" ref="C16">SUMPRODUCT(--(K15:K17=1))</f>
        <v>3</v>
      </c>
      <c r="D16" s="119"/>
      <c r="E16" s="21" t="s">
        <v>60</v>
      </c>
      <c r="F16" s="22" t="s">
        <v>133</v>
      </c>
      <c r="G16" s="10" t="s">
        <v>42</v>
      </c>
      <c r="H16" s="11" t="s">
        <v>45</v>
      </c>
      <c r="I16" s="12" t="s">
        <v>48</v>
      </c>
      <c r="J16" s="59" t="b">
        <v>0</v>
      </c>
      <c r="K16" s="4">
        <v>1</v>
      </c>
      <c r="L16" s="4">
        <v>0</v>
      </c>
      <c r="BC16" s="27"/>
    </row>
    <row r="17" spans="1:55" ht="18.75" customHeight="1" thickBot="1" x14ac:dyDescent="0.4">
      <c r="A17" s="26">
        <v>17</v>
      </c>
      <c r="B17" s="26">
        <v>14</v>
      </c>
      <c r="C17" s="117"/>
      <c r="D17" s="119"/>
      <c r="E17" s="65" t="s">
        <v>61</v>
      </c>
      <c r="F17" s="22" t="s">
        <v>133</v>
      </c>
      <c r="G17" s="10" t="s">
        <v>42</v>
      </c>
      <c r="H17" s="11" t="s">
        <v>45</v>
      </c>
      <c r="I17" s="12" t="s">
        <v>48</v>
      </c>
      <c r="J17" s="59" t="b">
        <v>0</v>
      </c>
      <c r="K17" s="4">
        <v>1</v>
      </c>
      <c r="L17" s="4">
        <v>0</v>
      </c>
      <c r="BC17" s="27"/>
    </row>
    <row r="18" spans="1:55" ht="18.75" customHeight="1" x14ac:dyDescent="0.35">
      <c r="A18" s="26">
        <v>19</v>
      </c>
      <c r="B18" s="26">
        <v>15</v>
      </c>
      <c r="C18" s="58">
        <f>IF(K18=1,1,0)</f>
        <v>1</v>
      </c>
      <c r="D18" s="68" t="s">
        <v>62</v>
      </c>
      <c r="E18" s="67" t="s">
        <v>63</v>
      </c>
      <c r="F18" s="15" t="s">
        <v>62</v>
      </c>
      <c r="G18" s="2" t="s">
        <v>42</v>
      </c>
      <c r="H18" s="6" t="s">
        <v>45</v>
      </c>
      <c r="I18" s="7" t="s">
        <v>48</v>
      </c>
      <c r="J18" s="59" t="b">
        <v>0</v>
      </c>
      <c r="K18" s="4">
        <v>1</v>
      </c>
      <c r="L18" s="4">
        <v>0</v>
      </c>
      <c r="BC18" s="27"/>
    </row>
    <row r="19" spans="1:55" ht="18.75" customHeight="1" x14ac:dyDescent="0.35">
      <c r="A19" s="26"/>
      <c r="B19" s="26">
        <v>16</v>
      </c>
      <c r="C19" s="71">
        <f>COUNTIF(F:F,"BACK COVER")</f>
        <v>3</v>
      </c>
      <c r="D19" s="120" t="s">
        <v>64</v>
      </c>
      <c r="E19" s="66" t="s">
        <v>17</v>
      </c>
      <c r="F19" s="15" t="s">
        <v>64</v>
      </c>
      <c r="G19" s="2" t="s">
        <v>42</v>
      </c>
      <c r="H19" s="6" t="s">
        <v>43</v>
      </c>
      <c r="I19" s="7" t="s">
        <v>48</v>
      </c>
      <c r="J19" s="59" t="b">
        <v>0</v>
      </c>
      <c r="K19" s="4">
        <v>1</v>
      </c>
      <c r="L19" s="4">
        <v>0</v>
      </c>
      <c r="BC19" s="27"/>
    </row>
    <row r="20" spans="1:55" ht="18.75" customHeight="1" x14ac:dyDescent="0.35">
      <c r="A20" s="26"/>
      <c r="B20" s="26">
        <v>17</v>
      </c>
      <c r="C20" s="117" cm="1">
        <f t="array" ref="C20">SUMPRODUCT(--(K19:K21=1))</f>
        <v>3</v>
      </c>
      <c r="D20" s="120"/>
      <c r="E20" s="66" t="s">
        <v>132</v>
      </c>
      <c r="F20" s="15" t="s">
        <v>64</v>
      </c>
      <c r="G20" s="2" t="s">
        <v>53</v>
      </c>
      <c r="H20" s="6" t="s">
        <v>43</v>
      </c>
      <c r="I20" s="7" t="s">
        <v>48</v>
      </c>
      <c r="J20" s="59" t="b">
        <v>0</v>
      </c>
      <c r="K20" s="4">
        <v>1</v>
      </c>
      <c r="L20" s="4">
        <v>0</v>
      </c>
      <c r="BC20" s="27"/>
    </row>
    <row r="21" spans="1:55" x14ac:dyDescent="0.35">
      <c r="A21" s="26">
        <v>21</v>
      </c>
      <c r="B21" s="26">
        <v>18</v>
      </c>
      <c r="C21" s="117"/>
      <c r="D21" s="120"/>
      <c r="E21" s="67" t="s">
        <v>32</v>
      </c>
      <c r="F21" s="15" t="s">
        <v>64</v>
      </c>
      <c r="G21" s="2" t="s">
        <v>53</v>
      </c>
      <c r="H21" s="6" t="s">
        <v>45</v>
      </c>
      <c r="I21" s="7" t="s">
        <v>48</v>
      </c>
      <c r="J21" s="59" t="b">
        <v>0</v>
      </c>
      <c r="K21" s="4">
        <v>1</v>
      </c>
      <c r="L21" s="4">
        <v>0</v>
      </c>
      <c r="BC21" s="27"/>
    </row>
    <row r="22" spans="1:55" x14ac:dyDescent="0.35">
      <c r="A22" s="26"/>
      <c r="B22" s="26">
        <v>19</v>
      </c>
      <c r="C22" s="58">
        <f>IF(K22=1,1,0)</f>
        <v>1</v>
      </c>
      <c r="D22" s="68" t="s">
        <v>65</v>
      </c>
      <c r="E22" s="67" t="s">
        <v>66</v>
      </c>
      <c r="F22" s="16" t="s">
        <v>65</v>
      </c>
      <c r="G22" s="2" t="s">
        <v>42</v>
      </c>
      <c r="H22" s="6" t="s">
        <v>45</v>
      </c>
      <c r="I22" s="7" t="s">
        <v>48</v>
      </c>
      <c r="J22" s="59" t="b">
        <v>0</v>
      </c>
      <c r="K22" s="4">
        <v>1</v>
      </c>
      <c r="L22" s="4">
        <v>0</v>
      </c>
      <c r="BC22" s="27"/>
    </row>
    <row r="23" spans="1:55" ht="15" thickBot="1" x14ac:dyDescent="0.4">
      <c r="A23" s="26"/>
      <c r="B23" s="26">
        <v>20</v>
      </c>
      <c r="C23" s="71">
        <f>COUNTIF(F:F,"DIAL FITTING")</f>
        <v>4</v>
      </c>
      <c r="D23" s="120" t="s">
        <v>67</v>
      </c>
      <c r="E23" s="66" t="s">
        <v>36</v>
      </c>
      <c r="F23" s="22" t="s">
        <v>67</v>
      </c>
      <c r="G23" s="10" t="s">
        <v>42</v>
      </c>
      <c r="H23" s="11" t="s">
        <v>45</v>
      </c>
      <c r="I23" s="12" t="s">
        <v>48</v>
      </c>
      <c r="J23" s="59" t="b">
        <v>0</v>
      </c>
      <c r="K23" s="4">
        <v>1</v>
      </c>
      <c r="L23" s="4">
        <v>0</v>
      </c>
      <c r="BC23" s="27"/>
    </row>
    <row r="24" spans="1:55" ht="15" thickBot="1" x14ac:dyDescent="0.4">
      <c r="A24" s="26"/>
      <c r="B24" s="26">
        <v>21</v>
      </c>
      <c r="C24" s="117" cm="1">
        <f t="array" ref="C24">SUMPRODUCT(--(K23:K26=1))</f>
        <v>4</v>
      </c>
      <c r="D24" s="120"/>
      <c r="E24" s="21" t="s">
        <v>68</v>
      </c>
      <c r="F24" s="22" t="s">
        <v>67</v>
      </c>
      <c r="G24" s="10" t="s">
        <v>53</v>
      </c>
      <c r="H24" s="6" t="s">
        <v>45</v>
      </c>
      <c r="I24" s="7" t="s">
        <v>48</v>
      </c>
      <c r="J24" s="59" t="b">
        <v>0</v>
      </c>
      <c r="K24" s="4">
        <v>1</v>
      </c>
      <c r="L24" s="4">
        <v>0</v>
      </c>
      <c r="BC24" s="27"/>
    </row>
    <row r="25" spans="1:55" ht="15" thickBot="1" x14ac:dyDescent="0.4">
      <c r="A25" s="26"/>
      <c r="B25" s="26">
        <v>22</v>
      </c>
      <c r="C25" s="117"/>
      <c r="D25" s="120"/>
      <c r="E25" s="21" t="s">
        <v>69</v>
      </c>
      <c r="F25" s="22" t="s">
        <v>67</v>
      </c>
      <c r="G25" s="10" t="s">
        <v>53</v>
      </c>
      <c r="H25" s="11" t="s">
        <v>45</v>
      </c>
      <c r="I25" s="12" t="s">
        <v>48</v>
      </c>
      <c r="J25" s="59" t="b">
        <v>0</v>
      </c>
      <c r="K25" s="4">
        <v>1</v>
      </c>
      <c r="L25" s="4">
        <v>0</v>
      </c>
      <c r="BC25" s="27"/>
    </row>
    <row r="26" spans="1:55" ht="15" thickBot="1" x14ac:dyDescent="0.4">
      <c r="A26" s="26"/>
      <c r="B26" s="26">
        <v>23</v>
      </c>
      <c r="C26" s="117"/>
      <c r="D26" s="120"/>
      <c r="E26" s="21" t="s">
        <v>131</v>
      </c>
      <c r="F26" s="22" t="s">
        <v>67</v>
      </c>
      <c r="G26" s="10" t="s">
        <v>53</v>
      </c>
      <c r="H26" s="11" t="s">
        <v>45</v>
      </c>
      <c r="I26" s="12" t="s">
        <v>48</v>
      </c>
      <c r="J26" s="59" t="b">
        <v>0</v>
      </c>
      <c r="K26" s="4">
        <v>1</v>
      </c>
      <c r="L26" s="4">
        <v>0</v>
      </c>
      <c r="BC26" s="27"/>
    </row>
    <row r="27" spans="1:55" x14ac:dyDescent="0.35">
      <c r="A27" s="26"/>
      <c r="B27" s="26">
        <v>24</v>
      </c>
      <c r="C27" s="71">
        <f>COUNTIF(F:F,"TIME SETTING")</f>
        <v>2</v>
      </c>
      <c r="D27" s="120" t="s">
        <v>71</v>
      </c>
      <c r="E27" s="67" t="s">
        <v>72</v>
      </c>
      <c r="F27" s="16" t="s">
        <v>73</v>
      </c>
      <c r="G27" s="2" t="s">
        <v>70</v>
      </c>
      <c r="H27" s="6" t="s">
        <v>45</v>
      </c>
      <c r="I27" s="7" t="s">
        <v>48</v>
      </c>
      <c r="J27" s="59" t="b">
        <v>0</v>
      </c>
      <c r="K27" s="4">
        <v>1</v>
      </c>
      <c r="L27" s="4">
        <v>0</v>
      </c>
      <c r="BC27" s="27"/>
    </row>
    <row r="28" spans="1:55" ht="15.75" customHeight="1" x14ac:dyDescent="0.35">
      <c r="A28" s="26"/>
      <c r="B28" s="26">
        <v>25</v>
      </c>
      <c r="C28" s="58" cm="1">
        <f t="array" ref="C28">SUMPRODUCT(--(K27:K28=1))</f>
        <v>2</v>
      </c>
      <c r="D28" s="120"/>
      <c r="E28" s="67" t="s">
        <v>74</v>
      </c>
      <c r="F28" s="16" t="s">
        <v>73</v>
      </c>
      <c r="G28" s="2" t="s">
        <v>42</v>
      </c>
      <c r="H28" s="6" t="s">
        <v>45</v>
      </c>
      <c r="I28" s="7" t="s">
        <v>48</v>
      </c>
      <c r="J28" s="59" t="b">
        <v>0</v>
      </c>
      <c r="K28" s="4">
        <v>1</v>
      </c>
      <c r="L28" s="4">
        <v>0</v>
      </c>
      <c r="BC28" s="27"/>
    </row>
    <row r="29" spans="1:55" ht="15.75" customHeight="1" x14ac:dyDescent="0.35">
      <c r="A29" s="26"/>
      <c r="B29" s="26">
        <v>26</v>
      </c>
      <c r="C29" s="71">
        <f>COUNTIF(F:F,"PREP")</f>
        <v>3</v>
      </c>
      <c r="D29" s="120" t="s">
        <v>1</v>
      </c>
      <c r="E29" s="67" t="s">
        <v>75</v>
      </c>
      <c r="F29" s="16" t="s">
        <v>76</v>
      </c>
      <c r="G29" s="2" t="s">
        <v>53</v>
      </c>
      <c r="H29" s="6" t="s">
        <v>45</v>
      </c>
      <c r="I29" s="7" t="s">
        <v>48</v>
      </c>
      <c r="J29" s="59" t="b">
        <v>0</v>
      </c>
      <c r="K29" s="4">
        <v>1</v>
      </c>
      <c r="L29" s="4">
        <v>0</v>
      </c>
      <c r="BC29" s="27"/>
    </row>
    <row r="30" spans="1:55" x14ac:dyDescent="0.35">
      <c r="A30" s="26">
        <v>24</v>
      </c>
      <c r="B30" s="26">
        <v>27</v>
      </c>
      <c r="C30" s="117" cm="1">
        <f t="array" ref="C30">SUMPRODUCT(--(K29:K31=1))</f>
        <v>3</v>
      </c>
      <c r="D30" s="120"/>
      <c r="E30" s="66" t="s">
        <v>29</v>
      </c>
      <c r="F30" s="16" t="s">
        <v>76</v>
      </c>
      <c r="G30" s="2" t="s">
        <v>70</v>
      </c>
      <c r="H30" s="6" t="s">
        <v>45</v>
      </c>
      <c r="I30" s="7" t="s">
        <v>48</v>
      </c>
      <c r="J30" s="59" t="b">
        <v>0</v>
      </c>
      <c r="K30" s="4">
        <v>1</v>
      </c>
      <c r="L30" s="4">
        <v>0</v>
      </c>
      <c r="BC30" s="27"/>
    </row>
    <row r="31" spans="1:55" x14ac:dyDescent="0.35">
      <c r="A31" s="26">
        <v>25</v>
      </c>
      <c r="B31" s="26">
        <v>28</v>
      </c>
      <c r="C31" s="117"/>
      <c r="D31" s="120"/>
      <c r="E31" s="67" t="s">
        <v>77</v>
      </c>
      <c r="F31" s="16" t="s">
        <v>76</v>
      </c>
      <c r="G31" s="2" t="s">
        <v>53</v>
      </c>
      <c r="H31" s="6" t="s">
        <v>45</v>
      </c>
      <c r="I31" s="7" t="s">
        <v>48</v>
      </c>
      <c r="J31" s="59" t="b">
        <v>0</v>
      </c>
      <c r="K31" s="4">
        <v>1</v>
      </c>
      <c r="L31" s="4">
        <v>0</v>
      </c>
      <c r="BC31" s="27"/>
    </row>
    <row r="32" spans="1:55" x14ac:dyDescent="0.35">
      <c r="A32" s="26">
        <v>26</v>
      </c>
      <c r="B32" s="26">
        <v>29</v>
      </c>
      <c r="C32" s="71">
        <f>COUNTIF(F:F,"LASER")</f>
        <v>2</v>
      </c>
      <c r="D32" s="120" t="s">
        <v>78</v>
      </c>
      <c r="E32" s="66" t="s">
        <v>79</v>
      </c>
      <c r="F32" s="16" t="s">
        <v>80</v>
      </c>
      <c r="G32" s="2" t="s">
        <v>42</v>
      </c>
      <c r="H32" s="6" t="s">
        <v>45</v>
      </c>
      <c r="I32" s="7" t="s">
        <v>48</v>
      </c>
      <c r="J32" s="59" t="b">
        <v>0</v>
      </c>
      <c r="K32" s="4">
        <v>1</v>
      </c>
      <c r="L32" s="4">
        <v>0</v>
      </c>
      <c r="BC32" s="27"/>
    </row>
    <row r="33" spans="1:55" x14ac:dyDescent="0.35">
      <c r="A33" s="26">
        <v>27</v>
      </c>
      <c r="B33" s="26">
        <v>30</v>
      </c>
      <c r="C33" s="58" cm="1">
        <f t="array" ref="C33">SUMPRODUCT(--(K32:K33=1))</f>
        <v>2</v>
      </c>
      <c r="D33" s="120"/>
      <c r="E33" s="67" t="s">
        <v>81</v>
      </c>
      <c r="F33" s="16" t="s">
        <v>80</v>
      </c>
      <c r="G33" s="2" t="s">
        <v>53</v>
      </c>
      <c r="H33" s="6" t="s">
        <v>45</v>
      </c>
      <c r="I33" s="7" t="s">
        <v>48</v>
      </c>
      <c r="J33" s="59" t="b">
        <v>0</v>
      </c>
      <c r="K33" s="4">
        <v>1</v>
      </c>
      <c r="L33" s="4">
        <v>0</v>
      </c>
      <c r="BC33" s="27"/>
    </row>
    <row r="34" spans="1:55" x14ac:dyDescent="0.35">
      <c r="A34" s="26"/>
      <c r="B34" s="26">
        <v>31</v>
      </c>
      <c r="C34" s="71">
        <f>COUNTIF(F:F,"KEY STEM")</f>
        <v>3</v>
      </c>
      <c r="D34" s="120" t="s">
        <v>82</v>
      </c>
      <c r="E34" s="67" t="s">
        <v>12</v>
      </c>
      <c r="F34" s="16" t="s">
        <v>82</v>
      </c>
      <c r="G34" s="2" t="s">
        <v>42</v>
      </c>
      <c r="H34" s="6" t="s">
        <v>45</v>
      </c>
      <c r="I34" s="7" t="s">
        <v>48</v>
      </c>
      <c r="J34" s="59" t="b">
        <v>0</v>
      </c>
      <c r="K34" s="4">
        <v>1</v>
      </c>
      <c r="L34" s="4">
        <v>0</v>
      </c>
      <c r="BC34" s="27"/>
    </row>
    <row r="35" spans="1:55" x14ac:dyDescent="0.35">
      <c r="A35" s="26">
        <v>28</v>
      </c>
      <c r="B35" s="26">
        <v>32</v>
      </c>
      <c r="C35" s="117" cm="1">
        <f t="array" ref="C35">SUMPRODUCT(--(K34:K36=1))</f>
        <v>3</v>
      </c>
      <c r="D35" s="120"/>
      <c r="E35" s="67" t="s">
        <v>13</v>
      </c>
      <c r="F35" s="16" t="s">
        <v>82</v>
      </c>
      <c r="G35" s="2" t="s">
        <v>53</v>
      </c>
      <c r="H35" s="6" t="s">
        <v>45</v>
      </c>
      <c r="I35" s="7" t="s">
        <v>48</v>
      </c>
      <c r="J35" s="59" t="b">
        <v>0</v>
      </c>
      <c r="K35" s="4">
        <v>1</v>
      </c>
      <c r="L35" s="4">
        <v>0</v>
      </c>
      <c r="BC35" s="27"/>
    </row>
    <row r="36" spans="1:55" x14ac:dyDescent="0.35">
      <c r="A36" s="26"/>
      <c r="B36" s="26">
        <v>33</v>
      </c>
      <c r="C36" s="117"/>
      <c r="D36" s="120"/>
      <c r="E36" s="67" t="s">
        <v>84</v>
      </c>
      <c r="F36" s="16" t="s">
        <v>82</v>
      </c>
      <c r="G36" s="2" t="s">
        <v>53</v>
      </c>
      <c r="H36" s="6" t="s">
        <v>45</v>
      </c>
      <c r="I36" s="7" t="s">
        <v>48</v>
      </c>
      <c r="J36" s="59" t="b">
        <v>0</v>
      </c>
      <c r="K36" s="4">
        <v>1</v>
      </c>
      <c r="L36" s="4">
        <v>0</v>
      </c>
      <c r="BC36" s="27"/>
    </row>
    <row r="37" spans="1:55" ht="15" thickBot="1" x14ac:dyDescent="0.4">
      <c r="A37" s="26">
        <v>29</v>
      </c>
      <c r="B37" s="26">
        <v>34</v>
      </c>
      <c r="C37" s="71">
        <f>COUNTIF(F:F,"WRT")</f>
        <v>2</v>
      </c>
      <c r="D37" s="120" t="s">
        <v>2</v>
      </c>
      <c r="E37" s="66" t="s">
        <v>85</v>
      </c>
      <c r="F37" s="22" t="s">
        <v>2</v>
      </c>
      <c r="G37" s="2" t="s">
        <v>53</v>
      </c>
      <c r="H37" s="6" t="s">
        <v>43</v>
      </c>
      <c r="I37" s="7" t="s">
        <v>48</v>
      </c>
      <c r="J37" s="59" t="b">
        <v>0</v>
      </c>
      <c r="K37" s="4">
        <v>1</v>
      </c>
      <c r="L37" s="4">
        <v>0</v>
      </c>
      <c r="BC37" s="27"/>
    </row>
    <row r="38" spans="1:55" x14ac:dyDescent="0.35">
      <c r="A38" s="26"/>
      <c r="B38" s="26">
        <v>35</v>
      </c>
      <c r="C38" s="58" cm="1">
        <f t="array" ref="C38">SUMPRODUCT(--(K37:K38=1))</f>
        <v>2</v>
      </c>
      <c r="D38" s="120"/>
      <c r="E38" s="66" t="s">
        <v>10</v>
      </c>
      <c r="F38" s="23" t="s">
        <v>2</v>
      </c>
      <c r="G38" s="1" t="s">
        <v>53</v>
      </c>
      <c r="H38" s="6" t="s">
        <v>45</v>
      </c>
      <c r="I38" s="7" t="s">
        <v>48</v>
      </c>
      <c r="J38" s="59" t="b">
        <v>0</v>
      </c>
      <c r="K38" s="4">
        <v>1</v>
      </c>
      <c r="L38" s="4">
        <v>0</v>
      </c>
      <c r="BC38" s="27"/>
    </row>
    <row r="39" spans="1:55" x14ac:dyDescent="0.35">
      <c r="A39" s="26"/>
      <c r="B39" s="26">
        <v>36</v>
      </c>
      <c r="C39" s="71">
        <f>COUNTIF(F:F,"SALVAGE")</f>
        <v>3</v>
      </c>
      <c r="D39" s="120" t="s">
        <v>86</v>
      </c>
      <c r="E39" s="66" t="s">
        <v>87</v>
      </c>
      <c r="F39" s="15" t="s">
        <v>86</v>
      </c>
      <c r="G39" s="2" t="s">
        <v>70</v>
      </c>
      <c r="H39" s="6" t="s">
        <v>45</v>
      </c>
      <c r="I39" s="13" t="s">
        <v>48</v>
      </c>
      <c r="J39" s="59" t="b">
        <v>0</v>
      </c>
      <c r="K39" s="4">
        <v>1</v>
      </c>
      <c r="L39" s="4">
        <v>0</v>
      </c>
      <c r="BC39" s="27"/>
    </row>
    <row r="40" spans="1:55" ht="15" thickBot="1" x14ac:dyDescent="0.4">
      <c r="A40" s="6">
        <v>31</v>
      </c>
      <c r="B40" s="26">
        <v>37</v>
      </c>
      <c r="C40" s="117" cm="1">
        <f t="array" ref="C40">SUMPRODUCT(--(K39:K41=1))</f>
        <v>3</v>
      </c>
      <c r="D40" s="120"/>
      <c r="E40" s="67" t="s">
        <v>88</v>
      </c>
      <c r="F40" s="22" t="s">
        <v>86</v>
      </c>
      <c r="G40" s="2" t="s">
        <v>70</v>
      </c>
      <c r="H40" s="6" t="s">
        <v>45</v>
      </c>
      <c r="I40" s="13" t="s">
        <v>48</v>
      </c>
      <c r="J40" s="59" t="b">
        <v>0</v>
      </c>
      <c r="K40" s="4">
        <v>1</v>
      </c>
      <c r="L40" s="4">
        <v>0</v>
      </c>
      <c r="BC40" s="27"/>
    </row>
    <row r="41" spans="1:55" x14ac:dyDescent="0.35">
      <c r="A41" s="6">
        <v>33</v>
      </c>
      <c r="B41" s="26">
        <v>38</v>
      </c>
      <c r="C41" s="117"/>
      <c r="D41" s="120"/>
      <c r="E41" s="66" t="s">
        <v>89</v>
      </c>
      <c r="F41" s="15" t="s">
        <v>86</v>
      </c>
      <c r="G41" s="2" t="s">
        <v>42</v>
      </c>
      <c r="H41" s="6" t="s">
        <v>45</v>
      </c>
      <c r="I41" s="13" t="s">
        <v>48</v>
      </c>
      <c r="J41" s="59" t="b">
        <v>0</v>
      </c>
      <c r="K41" s="4">
        <v>1</v>
      </c>
      <c r="L41" s="4">
        <v>0</v>
      </c>
      <c r="BC41" s="27"/>
    </row>
    <row r="42" spans="1:55" x14ac:dyDescent="0.35">
      <c r="A42" s="6">
        <v>35</v>
      </c>
      <c r="B42" s="26">
        <v>39</v>
      </c>
      <c r="C42" s="116">
        <f>COUNTIF(F:F,"MODULES")</f>
        <v>6</v>
      </c>
      <c r="D42" s="137" t="s">
        <v>91</v>
      </c>
      <c r="E42" s="66" t="s">
        <v>90</v>
      </c>
      <c r="F42" s="15" t="s">
        <v>91</v>
      </c>
      <c r="G42" s="2" t="s">
        <v>42</v>
      </c>
      <c r="H42" s="2" t="s">
        <v>45</v>
      </c>
      <c r="I42" s="13" t="s">
        <v>48</v>
      </c>
      <c r="J42" s="59" t="b">
        <v>0</v>
      </c>
      <c r="K42" s="4">
        <v>1</v>
      </c>
      <c r="L42" s="4">
        <v>0</v>
      </c>
      <c r="BC42" s="27"/>
    </row>
    <row r="43" spans="1:55" x14ac:dyDescent="0.35">
      <c r="A43" s="6">
        <v>36</v>
      </c>
      <c r="B43" s="26">
        <v>40</v>
      </c>
      <c r="C43" s="116"/>
      <c r="D43" s="137"/>
      <c r="E43" s="66" t="s">
        <v>34</v>
      </c>
      <c r="F43" s="15" t="s">
        <v>91</v>
      </c>
      <c r="G43" s="2" t="s">
        <v>53</v>
      </c>
      <c r="H43" s="2" t="s">
        <v>45</v>
      </c>
      <c r="I43" s="13" t="s">
        <v>48</v>
      </c>
      <c r="J43" s="59" t="b">
        <v>0</v>
      </c>
      <c r="K43" s="4">
        <v>1</v>
      </c>
      <c r="L43" s="4">
        <v>0</v>
      </c>
      <c r="BC43" s="27"/>
    </row>
    <row r="44" spans="1:55" x14ac:dyDescent="0.35">
      <c r="A44" s="6"/>
      <c r="B44" s="26">
        <v>41</v>
      </c>
      <c r="C44" s="116"/>
      <c r="D44" s="137"/>
      <c r="E44" s="66" t="s">
        <v>92</v>
      </c>
      <c r="F44" s="15" t="s">
        <v>91</v>
      </c>
      <c r="G44" s="2" t="s">
        <v>53</v>
      </c>
      <c r="H44" s="2" t="s">
        <v>45</v>
      </c>
      <c r="I44" s="13" t="s">
        <v>48</v>
      </c>
      <c r="J44" s="59" t="b">
        <v>0</v>
      </c>
      <c r="K44" s="4">
        <v>1</v>
      </c>
      <c r="L44" s="4">
        <v>0</v>
      </c>
      <c r="BC44" s="27"/>
    </row>
    <row r="45" spans="1:55" x14ac:dyDescent="0.35">
      <c r="A45" s="6"/>
      <c r="B45" s="26">
        <v>42</v>
      </c>
      <c r="C45" s="117" cm="1">
        <f t="array" ref="C45">SUMPRODUCT(--(K42:K47=1))</f>
        <v>6</v>
      </c>
      <c r="D45" s="137"/>
      <c r="E45" s="66" t="s">
        <v>128</v>
      </c>
      <c r="F45" s="15" t="s">
        <v>91</v>
      </c>
      <c r="G45" s="2" t="s">
        <v>53</v>
      </c>
      <c r="H45" s="2" t="s">
        <v>45</v>
      </c>
      <c r="I45" s="13" t="s">
        <v>48</v>
      </c>
      <c r="J45" s="59" t="b">
        <v>0</v>
      </c>
      <c r="K45" s="4">
        <v>1</v>
      </c>
      <c r="L45" s="4">
        <v>0</v>
      </c>
      <c r="BC45" s="27"/>
    </row>
    <row r="46" spans="1:55" x14ac:dyDescent="0.35">
      <c r="A46" s="6">
        <v>37</v>
      </c>
      <c r="B46" s="26">
        <v>43</v>
      </c>
      <c r="C46" s="117"/>
      <c r="D46" s="137"/>
      <c r="E46" s="66" t="s">
        <v>93</v>
      </c>
      <c r="F46" s="15" t="s">
        <v>91</v>
      </c>
      <c r="G46" s="2" t="s">
        <v>70</v>
      </c>
      <c r="H46" s="2" t="s">
        <v>45</v>
      </c>
      <c r="I46" s="13" t="s">
        <v>48</v>
      </c>
      <c r="J46" s="59" t="b">
        <v>0</v>
      </c>
      <c r="K46" s="4">
        <v>1</v>
      </c>
      <c r="L46" s="4">
        <v>0</v>
      </c>
      <c r="BC46" s="27"/>
    </row>
    <row r="47" spans="1:55" x14ac:dyDescent="0.35">
      <c r="A47" s="6">
        <v>40</v>
      </c>
      <c r="B47" s="26">
        <v>44</v>
      </c>
      <c r="C47" s="117"/>
      <c r="D47" s="137"/>
      <c r="E47" s="66" t="s">
        <v>94</v>
      </c>
      <c r="F47" s="15" t="s">
        <v>91</v>
      </c>
      <c r="G47" s="2" t="s">
        <v>53</v>
      </c>
      <c r="H47" s="2" t="s">
        <v>45</v>
      </c>
      <c r="I47" s="13" t="s">
        <v>48</v>
      </c>
      <c r="J47" s="59" t="b">
        <v>0</v>
      </c>
      <c r="K47" s="4">
        <v>1</v>
      </c>
      <c r="L47" s="4">
        <v>0</v>
      </c>
      <c r="BC47" s="27"/>
    </row>
    <row r="48" spans="1:55" x14ac:dyDescent="0.35">
      <c r="A48" s="6"/>
      <c r="B48" s="26">
        <v>45</v>
      </c>
      <c r="C48" s="116">
        <f>COUNTIF(F:F,"STRAPING")</f>
        <v>10</v>
      </c>
      <c r="D48" s="120" t="s">
        <v>3</v>
      </c>
      <c r="E48" s="66" t="s">
        <v>95</v>
      </c>
      <c r="F48" s="15" t="s">
        <v>96</v>
      </c>
      <c r="G48" s="2" t="s">
        <v>42</v>
      </c>
      <c r="H48" s="6" t="s">
        <v>45</v>
      </c>
      <c r="I48" s="13" t="s">
        <v>48</v>
      </c>
      <c r="J48" s="59" t="b">
        <v>0</v>
      </c>
      <c r="K48" s="4">
        <v>1</v>
      </c>
      <c r="L48" s="4">
        <v>0</v>
      </c>
      <c r="BC48" s="27"/>
    </row>
    <row r="49" spans="1:55" x14ac:dyDescent="0.35">
      <c r="A49" s="6"/>
      <c r="B49" s="26">
        <v>46</v>
      </c>
      <c r="C49" s="116"/>
      <c r="D49" s="120"/>
      <c r="E49" s="66" t="s">
        <v>27</v>
      </c>
      <c r="F49" s="15" t="s">
        <v>96</v>
      </c>
      <c r="G49" s="2" t="s">
        <v>70</v>
      </c>
      <c r="H49" s="6" t="s">
        <v>45</v>
      </c>
      <c r="I49" s="13" t="s">
        <v>48</v>
      </c>
      <c r="J49" s="59" t="b">
        <v>0</v>
      </c>
      <c r="K49" s="4">
        <v>1</v>
      </c>
      <c r="L49" s="4">
        <v>0</v>
      </c>
      <c r="BC49" s="27"/>
    </row>
    <row r="50" spans="1:55" x14ac:dyDescent="0.35">
      <c r="A50" s="6"/>
      <c r="B50" s="26">
        <v>47</v>
      </c>
      <c r="C50" s="116"/>
      <c r="D50" s="120"/>
      <c r="E50" s="66" t="s">
        <v>14</v>
      </c>
      <c r="F50" s="15" t="s">
        <v>96</v>
      </c>
      <c r="G50" s="2" t="s">
        <v>70</v>
      </c>
      <c r="H50" s="6" t="s">
        <v>45</v>
      </c>
      <c r="I50" s="13" t="s">
        <v>48</v>
      </c>
      <c r="J50" s="59" t="b">
        <v>0</v>
      </c>
      <c r="K50" s="4">
        <v>1</v>
      </c>
      <c r="L50" s="4">
        <v>0</v>
      </c>
      <c r="BC50" s="27"/>
    </row>
    <row r="51" spans="1:55" x14ac:dyDescent="0.35">
      <c r="A51" s="6"/>
      <c r="B51" s="26">
        <v>48</v>
      </c>
      <c r="C51" s="116"/>
      <c r="D51" s="120"/>
      <c r="E51" s="66" t="s">
        <v>97</v>
      </c>
      <c r="F51" s="15" t="s">
        <v>96</v>
      </c>
      <c r="G51" s="2" t="s">
        <v>53</v>
      </c>
      <c r="H51" s="6" t="s">
        <v>45</v>
      </c>
      <c r="I51" s="13" t="s">
        <v>48</v>
      </c>
      <c r="J51" s="59" t="b">
        <v>0</v>
      </c>
      <c r="K51" s="4">
        <v>1</v>
      </c>
      <c r="L51" s="4">
        <v>0</v>
      </c>
      <c r="BC51" s="27"/>
    </row>
    <row r="52" spans="1:55" x14ac:dyDescent="0.35">
      <c r="A52" s="6"/>
      <c r="B52" s="26">
        <v>49</v>
      </c>
      <c r="C52" s="116"/>
      <c r="D52" s="120"/>
      <c r="E52" s="66" t="s">
        <v>18</v>
      </c>
      <c r="F52" s="15" t="s">
        <v>96</v>
      </c>
      <c r="G52" s="2" t="s">
        <v>70</v>
      </c>
      <c r="H52" s="6" t="s">
        <v>45</v>
      </c>
      <c r="I52" s="13" t="s">
        <v>48</v>
      </c>
      <c r="J52" s="59" t="b">
        <v>0</v>
      </c>
      <c r="K52" s="4">
        <v>1</v>
      </c>
      <c r="L52" s="4">
        <v>0</v>
      </c>
      <c r="BC52" s="27"/>
    </row>
    <row r="53" spans="1:55" x14ac:dyDescent="0.35">
      <c r="A53" s="6"/>
      <c r="B53" s="26">
        <v>50</v>
      </c>
      <c r="C53" s="117" cm="1">
        <f t="array" ref="C53">SUMPRODUCT(--(K48:K57=1))</f>
        <v>10</v>
      </c>
      <c r="D53" s="120"/>
      <c r="E53" s="66" t="s">
        <v>98</v>
      </c>
      <c r="F53" s="15" t="s">
        <v>96</v>
      </c>
      <c r="G53" s="2" t="s">
        <v>70</v>
      </c>
      <c r="H53" s="6" t="s">
        <v>45</v>
      </c>
      <c r="I53" s="13" t="s">
        <v>48</v>
      </c>
      <c r="J53" s="59" t="b">
        <v>0</v>
      </c>
      <c r="K53" s="4">
        <v>1</v>
      </c>
      <c r="L53" s="4">
        <v>0</v>
      </c>
      <c r="BC53" s="27"/>
    </row>
    <row r="54" spans="1:55" x14ac:dyDescent="0.35">
      <c r="A54" s="6"/>
      <c r="B54" s="26">
        <v>51</v>
      </c>
      <c r="C54" s="117"/>
      <c r="D54" s="120"/>
      <c r="E54" s="66" t="s">
        <v>99</v>
      </c>
      <c r="F54" s="15" t="s">
        <v>96</v>
      </c>
      <c r="G54" s="2" t="s">
        <v>70</v>
      </c>
      <c r="H54" s="6" t="s">
        <v>45</v>
      </c>
      <c r="I54" s="13" t="s">
        <v>48</v>
      </c>
      <c r="J54" s="59" t="b">
        <v>0</v>
      </c>
      <c r="K54" s="4">
        <v>1</v>
      </c>
      <c r="L54" s="4">
        <v>0</v>
      </c>
      <c r="BC54" s="27"/>
    </row>
    <row r="55" spans="1:55" ht="15" thickBot="1" x14ac:dyDescent="0.4">
      <c r="A55" s="6"/>
      <c r="B55" s="26">
        <v>52</v>
      </c>
      <c r="C55" s="117"/>
      <c r="D55" s="120"/>
      <c r="E55" s="66" t="s">
        <v>100</v>
      </c>
      <c r="F55" s="24" t="s">
        <v>96</v>
      </c>
      <c r="G55" s="10" t="s">
        <v>42</v>
      </c>
      <c r="H55" s="11" t="s">
        <v>43</v>
      </c>
      <c r="I55" s="13" t="s">
        <v>48</v>
      </c>
      <c r="J55" s="59" t="b">
        <v>0</v>
      </c>
      <c r="K55" s="4">
        <v>1</v>
      </c>
      <c r="L55" s="4">
        <v>0</v>
      </c>
      <c r="BC55" s="27"/>
    </row>
    <row r="56" spans="1:55" ht="15" thickBot="1" x14ac:dyDescent="0.4">
      <c r="A56" s="6"/>
      <c r="B56" s="26">
        <v>53</v>
      </c>
      <c r="C56" s="117"/>
      <c r="D56" s="120"/>
      <c r="E56" s="65" t="s">
        <v>101</v>
      </c>
      <c r="F56" s="24" t="s">
        <v>96</v>
      </c>
      <c r="G56" s="10" t="s">
        <v>42</v>
      </c>
      <c r="H56" s="11" t="s">
        <v>43</v>
      </c>
      <c r="I56" s="13" t="s">
        <v>48</v>
      </c>
      <c r="J56" s="59" t="b">
        <v>0</v>
      </c>
      <c r="K56" s="4">
        <v>1</v>
      </c>
      <c r="L56" s="4">
        <v>0</v>
      </c>
      <c r="BC56" s="27"/>
    </row>
    <row r="57" spans="1:55" x14ac:dyDescent="0.35">
      <c r="A57" s="6">
        <v>44</v>
      </c>
      <c r="B57" s="26">
        <v>54</v>
      </c>
      <c r="C57" s="117"/>
      <c r="D57" s="120"/>
      <c r="E57" s="66" t="s">
        <v>102</v>
      </c>
      <c r="F57" s="15" t="s">
        <v>96</v>
      </c>
      <c r="G57" s="9" t="s">
        <v>42</v>
      </c>
      <c r="H57" s="6" t="s">
        <v>45</v>
      </c>
      <c r="I57" s="13" t="s">
        <v>48</v>
      </c>
      <c r="J57" s="59" t="b">
        <v>0</v>
      </c>
      <c r="K57" s="4">
        <v>1</v>
      </c>
      <c r="L57" s="4">
        <v>0</v>
      </c>
      <c r="BC57" s="27"/>
    </row>
    <row r="58" spans="1:55" x14ac:dyDescent="0.35">
      <c r="A58" s="6">
        <v>45</v>
      </c>
      <c r="B58" s="26">
        <v>55</v>
      </c>
      <c r="C58" s="116">
        <f>COUNTIF(F:F,"RTV")</f>
        <v>8</v>
      </c>
      <c r="D58" s="120" t="s">
        <v>4</v>
      </c>
      <c r="E58" s="66" t="s">
        <v>16</v>
      </c>
      <c r="F58" s="15" t="s">
        <v>4</v>
      </c>
      <c r="G58" s="2" t="s">
        <v>53</v>
      </c>
      <c r="H58" s="6" t="s">
        <v>45</v>
      </c>
      <c r="I58" s="13" t="s">
        <v>48</v>
      </c>
      <c r="J58" s="59" t="b">
        <v>0</v>
      </c>
      <c r="K58" s="4">
        <v>1</v>
      </c>
      <c r="L58" s="4">
        <v>0</v>
      </c>
      <c r="BC58" s="27"/>
    </row>
    <row r="59" spans="1:55" x14ac:dyDescent="0.35">
      <c r="A59" s="6">
        <v>46</v>
      </c>
      <c r="B59" s="26">
        <v>56</v>
      </c>
      <c r="C59" s="116"/>
      <c r="D59" s="120"/>
      <c r="E59" s="66" t="s">
        <v>103</v>
      </c>
      <c r="F59" s="15" t="s">
        <v>4</v>
      </c>
      <c r="G59" s="2" t="s">
        <v>42</v>
      </c>
      <c r="H59" s="6" t="s">
        <v>45</v>
      </c>
      <c r="I59" s="13" t="s">
        <v>48</v>
      </c>
      <c r="J59" s="59" t="b">
        <v>0</v>
      </c>
      <c r="K59" s="4">
        <v>1</v>
      </c>
      <c r="L59" s="4">
        <v>0</v>
      </c>
      <c r="BC59" s="27"/>
    </row>
    <row r="60" spans="1:55" x14ac:dyDescent="0.35">
      <c r="A60" s="6">
        <v>47</v>
      </c>
      <c r="B60" s="26">
        <v>57</v>
      </c>
      <c r="C60" s="116"/>
      <c r="D60" s="120"/>
      <c r="E60" s="66" t="s">
        <v>104</v>
      </c>
      <c r="F60" s="15" t="s">
        <v>4</v>
      </c>
      <c r="G60" s="2" t="s">
        <v>42</v>
      </c>
      <c r="H60" s="6" t="s">
        <v>45</v>
      </c>
      <c r="I60" s="13" t="s">
        <v>48</v>
      </c>
      <c r="J60" s="59" t="b">
        <v>0</v>
      </c>
      <c r="K60" s="4">
        <v>1</v>
      </c>
      <c r="L60" s="4">
        <v>0</v>
      </c>
      <c r="BC60" s="27"/>
    </row>
    <row r="61" spans="1:55" x14ac:dyDescent="0.35">
      <c r="A61" s="6">
        <v>48</v>
      </c>
      <c r="B61" s="26">
        <v>58</v>
      </c>
      <c r="C61" s="116"/>
      <c r="D61" s="120"/>
      <c r="E61" s="66" t="s">
        <v>105</v>
      </c>
      <c r="F61" s="15" t="s">
        <v>4</v>
      </c>
      <c r="G61" s="2" t="s">
        <v>42</v>
      </c>
      <c r="H61" s="6" t="s">
        <v>45</v>
      </c>
      <c r="I61" s="13" t="s">
        <v>48</v>
      </c>
      <c r="J61" s="59" t="b">
        <v>0</v>
      </c>
      <c r="K61" s="4">
        <v>1</v>
      </c>
      <c r="L61" s="4">
        <v>0</v>
      </c>
      <c r="BC61" s="27"/>
    </row>
    <row r="62" spans="1:55" x14ac:dyDescent="0.35">
      <c r="A62" s="6"/>
      <c r="B62" s="26">
        <v>59</v>
      </c>
      <c r="C62" s="117" cm="1">
        <f t="array" ref="C62">SUMPRODUCT(--(K58:K65=1))</f>
        <v>8</v>
      </c>
      <c r="D62" s="120"/>
      <c r="E62" s="66" t="s">
        <v>106</v>
      </c>
      <c r="F62" s="15" t="s">
        <v>4</v>
      </c>
      <c r="G62" s="2" t="s">
        <v>70</v>
      </c>
      <c r="H62" s="6" t="s">
        <v>45</v>
      </c>
      <c r="I62" s="13" t="s">
        <v>48</v>
      </c>
      <c r="J62" s="59" t="b">
        <v>0</v>
      </c>
      <c r="K62" s="4">
        <v>1</v>
      </c>
      <c r="L62" s="4">
        <v>0</v>
      </c>
      <c r="BC62" s="27"/>
    </row>
    <row r="63" spans="1:55" x14ac:dyDescent="0.35">
      <c r="A63" s="6">
        <v>49</v>
      </c>
      <c r="B63" s="26">
        <v>60</v>
      </c>
      <c r="C63" s="117"/>
      <c r="D63" s="120"/>
      <c r="E63" s="66" t="s">
        <v>107</v>
      </c>
      <c r="F63" s="15" t="s">
        <v>4</v>
      </c>
      <c r="G63" s="2" t="s">
        <v>53</v>
      </c>
      <c r="H63" s="6" t="s">
        <v>45</v>
      </c>
      <c r="I63" s="13" t="s">
        <v>48</v>
      </c>
      <c r="J63" s="59" t="b">
        <v>0</v>
      </c>
      <c r="K63" s="4">
        <v>1</v>
      </c>
      <c r="L63" s="4">
        <v>0</v>
      </c>
      <c r="BC63" s="27"/>
    </row>
    <row r="64" spans="1:55" ht="15" thickBot="1" x14ac:dyDescent="0.4">
      <c r="A64" s="6"/>
      <c r="B64" s="26">
        <v>61</v>
      </c>
      <c r="C64" s="117"/>
      <c r="D64" s="120"/>
      <c r="E64" s="65" t="s">
        <v>108</v>
      </c>
      <c r="F64" s="22" t="s">
        <v>4</v>
      </c>
      <c r="G64" s="10" t="s">
        <v>124</v>
      </c>
      <c r="H64" s="6" t="s">
        <v>45</v>
      </c>
      <c r="I64" s="13" t="s">
        <v>48</v>
      </c>
      <c r="J64" s="59" t="b">
        <v>0</v>
      </c>
      <c r="K64" s="4">
        <v>1</v>
      </c>
      <c r="L64" s="4">
        <v>0</v>
      </c>
      <c r="BC64" s="27"/>
    </row>
    <row r="65" spans="1:55" x14ac:dyDescent="0.35">
      <c r="A65" s="6">
        <v>50</v>
      </c>
      <c r="B65" s="26">
        <v>62</v>
      </c>
      <c r="C65" s="117"/>
      <c r="D65" s="120"/>
      <c r="E65" s="65" t="s">
        <v>109</v>
      </c>
      <c r="F65" s="20" t="s">
        <v>4</v>
      </c>
      <c r="G65" s="2" t="s">
        <v>53</v>
      </c>
      <c r="H65" s="6" t="s">
        <v>45</v>
      </c>
      <c r="I65" s="13" t="s">
        <v>48</v>
      </c>
      <c r="J65" s="59" t="b">
        <v>0</v>
      </c>
      <c r="K65" s="4">
        <v>1</v>
      </c>
      <c r="L65" s="4">
        <v>0</v>
      </c>
      <c r="BC65" s="27"/>
    </row>
    <row r="66" spans="1:55" x14ac:dyDescent="0.35">
      <c r="A66" s="6">
        <v>53</v>
      </c>
      <c r="B66" s="26">
        <v>63</v>
      </c>
      <c r="C66" s="116">
        <f>COUNTIF(F:F,"Store")</f>
        <v>8</v>
      </c>
      <c r="D66" s="120" t="s">
        <v>110</v>
      </c>
      <c r="E66" s="67" t="s">
        <v>111</v>
      </c>
      <c r="F66" s="16" t="s">
        <v>5</v>
      </c>
      <c r="G66" s="2" t="s">
        <v>42</v>
      </c>
      <c r="H66" s="6" t="s">
        <v>43</v>
      </c>
      <c r="I66" s="7" t="s">
        <v>48</v>
      </c>
      <c r="J66" s="59" t="b">
        <v>0</v>
      </c>
      <c r="K66" s="4">
        <v>1</v>
      </c>
      <c r="L66" s="4">
        <v>0</v>
      </c>
      <c r="BC66" s="27"/>
    </row>
    <row r="67" spans="1:55" x14ac:dyDescent="0.35">
      <c r="A67" s="6">
        <v>55</v>
      </c>
      <c r="B67" s="26">
        <v>64</v>
      </c>
      <c r="C67" s="116"/>
      <c r="D67" s="120"/>
      <c r="E67" s="67" t="s">
        <v>112</v>
      </c>
      <c r="F67" s="16" t="s">
        <v>5</v>
      </c>
      <c r="G67" s="2" t="s">
        <v>53</v>
      </c>
      <c r="H67" s="6" t="s">
        <v>43</v>
      </c>
      <c r="I67" s="7" t="s">
        <v>48</v>
      </c>
      <c r="J67" s="59" t="b">
        <v>0</v>
      </c>
      <c r="K67" s="4">
        <v>1</v>
      </c>
      <c r="L67" s="4">
        <v>0</v>
      </c>
      <c r="BC67" s="27"/>
    </row>
    <row r="68" spans="1:55" x14ac:dyDescent="0.35">
      <c r="A68" s="6"/>
      <c r="B68" s="26">
        <v>65</v>
      </c>
      <c r="C68" s="116"/>
      <c r="D68" s="120"/>
      <c r="E68" s="67" t="s">
        <v>113</v>
      </c>
      <c r="F68" s="16" t="s">
        <v>5</v>
      </c>
      <c r="G68" s="2" t="s">
        <v>53</v>
      </c>
      <c r="H68" s="6" t="s">
        <v>45</v>
      </c>
      <c r="I68" s="7" t="s">
        <v>48</v>
      </c>
      <c r="J68" s="59" t="b">
        <v>0</v>
      </c>
      <c r="K68" s="4">
        <v>1</v>
      </c>
      <c r="L68" s="4">
        <v>0</v>
      </c>
      <c r="BC68" s="27"/>
    </row>
    <row r="69" spans="1:55" x14ac:dyDescent="0.35">
      <c r="A69" s="6"/>
      <c r="B69" s="26">
        <v>66</v>
      </c>
      <c r="C69" s="116"/>
      <c r="D69" s="120"/>
      <c r="E69" s="25" t="s">
        <v>22</v>
      </c>
      <c r="F69" s="16" t="s">
        <v>5</v>
      </c>
      <c r="G69" s="2" t="s">
        <v>53</v>
      </c>
      <c r="H69" s="6" t="s">
        <v>45</v>
      </c>
      <c r="I69" s="7" t="s">
        <v>48</v>
      </c>
      <c r="J69" s="59" t="b">
        <v>0</v>
      </c>
      <c r="K69" s="4">
        <v>1</v>
      </c>
      <c r="L69" s="4">
        <v>0</v>
      </c>
      <c r="BC69" s="27"/>
    </row>
    <row r="70" spans="1:55" x14ac:dyDescent="0.35">
      <c r="A70" s="6"/>
      <c r="B70" s="26">
        <v>67</v>
      </c>
      <c r="C70" s="117" cm="1">
        <f t="array" ref="C70">SUMPRODUCT(--(K66:K73=1))</f>
        <v>8</v>
      </c>
      <c r="D70" s="120"/>
      <c r="E70" s="67" t="s">
        <v>114</v>
      </c>
      <c r="F70" s="16" t="s">
        <v>5</v>
      </c>
      <c r="G70" s="2" t="s">
        <v>53</v>
      </c>
      <c r="H70" s="6" t="s">
        <v>45</v>
      </c>
      <c r="I70" s="7" t="s">
        <v>48</v>
      </c>
      <c r="J70" s="59" t="b">
        <v>0</v>
      </c>
      <c r="K70" s="4">
        <v>1</v>
      </c>
      <c r="L70" s="4">
        <v>0</v>
      </c>
      <c r="BC70" s="27"/>
    </row>
    <row r="71" spans="1:55" x14ac:dyDescent="0.35">
      <c r="A71" s="6"/>
      <c r="B71" s="26">
        <v>68</v>
      </c>
      <c r="C71" s="117"/>
      <c r="D71" s="120"/>
      <c r="E71" s="67" t="s">
        <v>115</v>
      </c>
      <c r="F71" s="16" t="s">
        <v>5</v>
      </c>
      <c r="G71" s="2" t="s">
        <v>53</v>
      </c>
      <c r="H71" s="6" t="s">
        <v>45</v>
      </c>
      <c r="I71" s="7" t="s">
        <v>48</v>
      </c>
      <c r="J71" s="59" t="b">
        <v>0</v>
      </c>
      <c r="K71" s="4">
        <v>1</v>
      </c>
      <c r="L71" s="4">
        <v>0</v>
      </c>
      <c r="BC71" s="27"/>
    </row>
    <row r="72" spans="1:55" x14ac:dyDescent="0.35">
      <c r="A72" s="6"/>
      <c r="B72" s="26">
        <v>69</v>
      </c>
      <c r="C72" s="117"/>
      <c r="D72" s="120"/>
      <c r="E72" s="67" t="s">
        <v>130</v>
      </c>
      <c r="F72" s="16" t="s">
        <v>5</v>
      </c>
      <c r="G72" s="2" t="s">
        <v>53</v>
      </c>
      <c r="H72" s="6" t="s">
        <v>45</v>
      </c>
      <c r="I72" s="7" t="s">
        <v>48</v>
      </c>
      <c r="J72" s="59" t="b">
        <v>0</v>
      </c>
      <c r="K72" s="4">
        <v>1</v>
      </c>
      <c r="L72" s="4">
        <v>0</v>
      </c>
      <c r="BC72" s="27"/>
    </row>
    <row r="73" spans="1:55" x14ac:dyDescent="0.35">
      <c r="A73" s="6">
        <v>56</v>
      </c>
      <c r="B73" s="26">
        <v>70</v>
      </c>
      <c r="C73" s="117"/>
      <c r="D73" s="120"/>
      <c r="E73" s="67" t="s">
        <v>116</v>
      </c>
      <c r="F73" s="16" t="s">
        <v>5</v>
      </c>
      <c r="G73" s="2" t="s">
        <v>53</v>
      </c>
      <c r="H73" s="6" t="s">
        <v>43</v>
      </c>
      <c r="I73" s="7" t="s">
        <v>48</v>
      </c>
      <c r="J73" s="59" t="b">
        <v>0</v>
      </c>
      <c r="K73" s="4">
        <v>1</v>
      </c>
      <c r="L73" s="4">
        <v>0</v>
      </c>
      <c r="BC73" s="27"/>
    </row>
    <row r="74" spans="1:55" x14ac:dyDescent="0.35">
      <c r="A74" s="6">
        <v>58</v>
      </c>
      <c r="B74" s="26">
        <v>71</v>
      </c>
      <c r="C74" s="71">
        <f>COUNTIF(F:F,"FG")</f>
        <v>2</v>
      </c>
      <c r="D74" s="120" t="s">
        <v>6</v>
      </c>
      <c r="E74" s="67" t="s">
        <v>117</v>
      </c>
      <c r="F74" s="16" t="s">
        <v>6</v>
      </c>
      <c r="G74" s="2" t="s">
        <v>53</v>
      </c>
      <c r="H74" s="6" t="s">
        <v>43</v>
      </c>
      <c r="I74" s="7" t="s">
        <v>48</v>
      </c>
      <c r="J74" s="59" t="b">
        <v>0</v>
      </c>
      <c r="K74" s="4">
        <v>1</v>
      </c>
      <c r="L74" s="4">
        <v>0</v>
      </c>
      <c r="BC74" s="27"/>
    </row>
    <row r="75" spans="1:55" x14ac:dyDescent="0.35">
      <c r="A75" s="6">
        <v>60</v>
      </c>
      <c r="B75" s="26">
        <v>72</v>
      </c>
      <c r="C75" s="58" cm="1">
        <f t="array" ref="C75">SUMPRODUCT(--(K74:K75=1))</f>
        <v>2</v>
      </c>
      <c r="D75" s="120"/>
      <c r="E75" s="66" t="s">
        <v>24</v>
      </c>
      <c r="F75" s="16" t="s">
        <v>6</v>
      </c>
      <c r="G75" s="2" t="s">
        <v>53</v>
      </c>
      <c r="H75" s="6" t="s">
        <v>43</v>
      </c>
      <c r="I75" s="7" t="s">
        <v>48</v>
      </c>
      <c r="J75" s="59" t="b">
        <v>0</v>
      </c>
      <c r="K75" s="4">
        <v>1</v>
      </c>
      <c r="L75" s="4">
        <v>0</v>
      </c>
      <c r="BC75" s="27"/>
    </row>
    <row r="76" spans="1:55" x14ac:dyDescent="0.35">
      <c r="A76" s="6">
        <v>62</v>
      </c>
      <c r="B76" s="26">
        <v>73</v>
      </c>
      <c r="C76" s="122">
        <f>COUNTIF(F:F,"QLTY")</f>
        <v>6</v>
      </c>
      <c r="D76" s="120" t="s">
        <v>118</v>
      </c>
      <c r="E76" s="67" t="s">
        <v>19</v>
      </c>
      <c r="F76" s="16" t="s">
        <v>119</v>
      </c>
      <c r="G76" s="2" t="s">
        <v>53</v>
      </c>
      <c r="H76" s="6" t="s">
        <v>45</v>
      </c>
      <c r="I76" s="7" t="s">
        <v>48</v>
      </c>
      <c r="J76" s="59" t="b">
        <v>0</v>
      </c>
      <c r="K76" s="4">
        <v>1</v>
      </c>
      <c r="L76" s="4">
        <v>0</v>
      </c>
      <c r="BC76" s="27"/>
    </row>
    <row r="77" spans="1:55" x14ac:dyDescent="0.35">
      <c r="A77" s="6">
        <v>63</v>
      </c>
      <c r="B77" s="26">
        <v>74</v>
      </c>
      <c r="C77" s="122"/>
      <c r="D77" s="120"/>
      <c r="E77" s="67" t="s">
        <v>15</v>
      </c>
      <c r="F77" s="16" t="s">
        <v>119</v>
      </c>
      <c r="G77" s="2" t="s">
        <v>42</v>
      </c>
      <c r="H77" s="6" t="s">
        <v>45</v>
      </c>
      <c r="I77" s="7" t="s">
        <v>48</v>
      </c>
      <c r="J77" s="59" t="b">
        <v>0</v>
      </c>
      <c r="K77" s="4">
        <v>1</v>
      </c>
      <c r="L77" s="4">
        <v>0</v>
      </c>
      <c r="BC77" s="27"/>
    </row>
    <row r="78" spans="1:55" x14ac:dyDescent="0.35">
      <c r="A78" s="6">
        <v>64</v>
      </c>
      <c r="B78" s="26">
        <v>75</v>
      </c>
      <c r="C78" s="122"/>
      <c r="D78" s="120"/>
      <c r="E78" s="67" t="s">
        <v>31</v>
      </c>
      <c r="F78" s="16" t="s">
        <v>119</v>
      </c>
      <c r="G78" s="2" t="s">
        <v>53</v>
      </c>
      <c r="H78" s="6" t="s">
        <v>45</v>
      </c>
      <c r="I78" s="7" t="s">
        <v>48</v>
      </c>
      <c r="J78" s="59" t="b">
        <v>0</v>
      </c>
      <c r="K78" s="4">
        <v>1</v>
      </c>
      <c r="L78" s="4">
        <v>0</v>
      </c>
      <c r="BC78" s="27"/>
    </row>
    <row r="79" spans="1:55" x14ac:dyDescent="0.35">
      <c r="A79" s="6"/>
      <c r="B79" s="26">
        <v>76</v>
      </c>
      <c r="C79" s="117" cm="1">
        <f t="array" ref="C79">SUMPRODUCT(--(K76:K81=1))</f>
        <v>6</v>
      </c>
      <c r="D79" s="120"/>
      <c r="E79" s="67" t="s">
        <v>129</v>
      </c>
      <c r="F79" s="16" t="s">
        <v>119</v>
      </c>
      <c r="G79" s="2" t="s">
        <v>53</v>
      </c>
      <c r="H79" s="6" t="s">
        <v>45</v>
      </c>
      <c r="I79" s="7" t="s">
        <v>48</v>
      </c>
      <c r="J79" s="59" t="b">
        <v>0</v>
      </c>
      <c r="K79" s="4">
        <v>1</v>
      </c>
      <c r="L79" s="4">
        <v>0</v>
      </c>
      <c r="BC79" s="27"/>
    </row>
    <row r="80" spans="1:55" x14ac:dyDescent="0.35">
      <c r="A80" s="6">
        <v>66</v>
      </c>
      <c r="B80" s="26">
        <v>77</v>
      </c>
      <c r="C80" s="117"/>
      <c r="D80" s="120"/>
      <c r="E80" s="67" t="s">
        <v>28</v>
      </c>
      <c r="F80" s="16" t="s">
        <v>119</v>
      </c>
      <c r="G80" s="2" t="s">
        <v>42</v>
      </c>
      <c r="H80" s="6" t="s">
        <v>45</v>
      </c>
      <c r="I80" s="7" t="s">
        <v>48</v>
      </c>
      <c r="J80" s="59" t="b">
        <v>0</v>
      </c>
      <c r="K80" s="4">
        <v>1</v>
      </c>
      <c r="L80" s="4">
        <v>0</v>
      </c>
      <c r="BC80" s="27"/>
    </row>
    <row r="81" spans="1:55" x14ac:dyDescent="0.35">
      <c r="A81" s="6">
        <v>67</v>
      </c>
      <c r="B81" s="26">
        <v>78</v>
      </c>
      <c r="C81" s="117"/>
      <c r="D81" s="120"/>
      <c r="E81" s="67" t="s">
        <v>25</v>
      </c>
      <c r="F81" s="16" t="s">
        <v>119</v>
      </c>
      <c r="G81" s="2" t="s">
        <v>53</v>
      </c>
      <c r="H81" s="6" t="s">
        <v>45</v>
      </c>
      <c r="I81" s="7" t="s">
        <v>48</v>
      </c>
      <c r="J81" s="59" t="b">
        <v>0</v>
      </c>
      <c r="K81" s="4">
        <v>1</v>
      </c>
      <c r="L81" s="4">
        <v>0</v>
      </c>
      <c r="BC81" s="27"/>
    </row>
    <row r="82" spans="1:55" x14ac:dyDescent="0.35">
      <c r="A82" s="6">
        <v>69</v>
      </c>
      <c r="B82" s="26">
        <v>79</v>
      </c>
      <c r="C82" s="122">
        <f>COUNTIF(F:F,"IGI")</f>
        <v>4</v>
      </c>
      <c r="D82" s="120" t="s">
        <v>120</v>
      </c>
      <c r="E82" s="67" t="s">
        <v>21</v>
      </c>
      <c r="F82" s="16" t="s">
        <v>120</v>
      </c>
      <c r="G82" s="2" t="s">
        <v>42</v>
      </c>
      <c r="H82" s="6" t="s">
        <v>45</v>
      </c>
      <c r="I82" s="7" t="s">
        <v>48</v>
      </c>
      <c r="J82" s="59" t="b">
        <v>0</v>
      </c>
      <c r="K82" s="4">
        <v>1</v>
      </c>
      <c r="L82" s="4">
        <v>0</v>
      </c>
      <c r="BC82" s="27"/>
    </row>
    <row r="83" spans="1:55" x14ac:dyDescent="0.35">
      <c r="A83" s="6">
        <v>70</v>
      </c>
      <c r="B83" s="26">
        <v>80</v>
      </c>
      <c r="C83" s="122"/>
      <c r="D83" s="120"/>
      <c r="E83" s="66" t="s">
        <v>121</v>
      </c>
      <c r="F83" s="16" t="s">
        <v>120</v>
      </c>
      <c r="G83" s="2" t="s">
        <v>42</v>
      </c>
      <c r="H83" s="6" t="s">
        <v>45</v>
      </c>
      <c r="I83" s="7" t="s">
        <v>48</v>
      </c>
      <c r="J83" s="59" t="b">
        <v>0</v>
      </c>
      <c r="K83" s="4">
        <v>1</v>
      </c>
      <c r="L83" s="4">
        <v>0</v>
      </c>
      <c r="BC83" s="27"/>
    </row>
    <row r="84" spans="1:55" x14ac:dyDescent="0.35">
      <c r="A84" s="6"/>
      <c r="B84" s="26">
        <v>81</v>
      </c>
      <c r="C84" s="117" cm="1">
        <f t="array" ref="C84">SUMPRODUCT(--(K82:K85=1))</f>
        <v>4</v>
      </c>
      <c r="D84" s="120"/>
      <c r="E84" s="67" t="s">
        <v>122</v>
      </c>
      <c r="F84" s="16" t="s">
        <v>120</v>
      </c>
      <c r="G84" s="2" t="s">
        <v>70</v>
      </c>
      <c r="H84" s="6" t="s">
        <v>45</v>
      </c>
      <c r="I84" s="13" t="s">
        <v>48</v>
      </c>
      <c r="J84" s="59" t="b">
        <v>0</v>
      </c>
      <c r="K84" s="4">
        <v>1</v>
      </c>
      <c r="L84" s="4">
        <v>0</v>
      </c>
      <c r="BC84" s="27"/>
    </row>
    <row r="85" spans="1:55" x14ac:dyDescent="0.35">
      <c r="A85" s="6">
        <v>74</v>
      </c>
      <c r="B85" s="26">
        <v>82</v>
      </c>
      <c r="C85" s="117"/>
      <c r="D85" s="120"/>
      <c r="E85" s="67" t="s">
        <v>11</v>
      </c>
      <c r="F85" s="16" t="s">
        <v>120</v>
      </c>
      <c r="G85" s="2" t="s">
        <v>53</v>
      </c>
      <c r="H85" s="2" t="s">
        <v>45</v>
      </c>
      <c r="I85" s="13" t="s">
        <v>48</v>
      </c>
      <c r="J85" s="59" t="b">
        <v>0</v>
      </c>
      <c r="K85" s="4">
        <v>1</v>
      </c>
      <c r="L85" s="4">
        <v>0</v>
      </c>
      <c r="BC85" s="27"/>
    </row>
    <row r="86" spans="1:55" x14ac:dyDescent="0.35">
      <c r="A86" s="6">
        <v>75</v>
      </c>
      <c r="B86" s="26">
        <v>83</v>
      </c>
      <c r="C86" s="71">
        <f>COUNTIF(F:F,"PPC")</f>
        <v>2</v>
      </c>
      <c r="D86" s="120" t="s">
        <v>7</v>
      </c>
      <c r="E86" s="67" t="s">
        <v>23</v>
      </c>
      <c r="F86" s="16" t="s">
        <v>7</v>
      </c>
      <c r="G86" s="2" t="s">
        <v>42</v>
      </c>
      <c r="H86" s="6" t="s">
        <v>45</v>
      </c>
      <c r="I86" s="7" t="s">
        <v>48</v>
      </c>
      <c r="J86" s="59" t="b">
        <v>0</v>
      </c>
      <c r="K86" s="4">
        <v>1</v>
      </c>
      <c r="L86" s="4">
        <v>0</v>
      </c>
      <c r="BC86" s="27"/>
    </row>
    <row r="87" spans="1:55" ht="15" thickBot="1" x14ac:dyDescent="0.4">
      <c r="A87" s="6">
        <v>76</v>
      </c>
      <c r="B87" s="26">
        <v>84</v>
      </c>
      <c r="C87" s="58" cm="1">
        <f t="array" ref="C87">SUMPRODUCT(--(K86:K87=1))</f>
        <v>2</v>
      </c>
      <c r="D87" s="120"/>
      <c r="E87" s="66" t="s">
        <v>123</v>
      </c>
      <c r="F87" s="22" t="s">
        <v>7</v>
      </c>
      <c r="G87" s="10" t="s">
        <v>53</v>
      </c>
      <c r="H87" s="6" t="s">
        <v>43</v>
      </c>
      <c r="I87" s="7" t="s">
        <v>48</v>
      </c>
      <c r="J87" s="59" t="b">
        <v>0</v>
      </c>
      <c r="K87" s="4">
        <v>1</v>
      </c>
      <c r="L87" s="4">
        <v>0</v>
      </c>
      <c r="BC87" s="27"/>
    </row>
    <row r="88" spans="1:55" ht="15" thickBot="1" x14ac:dyDescent="0.4">
      <c r="A88" s="6">
        <v>80</v>
      </c>
      <c r="B88" s="26">
        <v>85</v>
      </c>
      <c r="C88" s="58">
        <f>IF(K88=1,1,0)</f>
        <v>1</v>
      </c>
      <c r="D88" s="68" t="s">
        <v>8</v>
      </c>
      <c r="E88" s="21" t="s">
        <v>35</v>
      </c>
      <c r="F88" s="22" t="s">
        <v>83</v>
      </c>
      <c r="G88" s="10" t="s">
        <v>42</v>
      </c>
      <c r="H88" s="11" t="s">
        <v>43</v>
      </c>
      <c r="I88" s="12" t="s">
        <v>48</v>
      </c>
      <c r="J88" s="59" t="b">
        <v>0</v>
      </c>
      <c r="K88" s="4">
        <v>1</v>
      </c>
      <c r="L88" s="4">
        <v>0</v>
      </c>
      <c r="BC88" s="27"/>
    </row>
    <row r="89" spans="1:55" ht="15" thickBot="1" x14ac:dyDescent="0.4">
      <c r="A89" s="6"/>
      <c r="B89" s="26">
        <v>86</v>
      </c>
      <c r="C89" s="62">
        <f>IF(K89=1,1,0)</f>
        <v>1</v>
      </c>
      <c r="D89" s="69" t="s">
        <v>9</v>
      </c>
      <c r="E89" s="66" t="s">
        <v>20</v>
      </c>
      <c r="F89" s="8" t="s">
        <v>125</v>
      </c>
      <c r="G89" s="5" t="s">
        <v>126</v>
      </c>
      <c r="H89" s="14" t="s">
        <v>45</v>
      </c>
      <c r="I89" s="7" t="s">
        <v>48</v>
      </c>
      <c r="J89" s="59" t="b">
        <v>0</v>
      </c>
      <c r="K89" s="4">
        <v>1</v>
      </c>
      <c r="L89" s="4">
        <v>0</v>
      </c>
      <c r="BC89" s="27"/>
    </row>
    <row r="90" spans="1:55" x14ac:dyDescent="0.35">
      <c r="A90" s="6"/>
      <c r="C90" s="70"/>
      <c r="E90" s="31"/>
      <c r="F90" s="23"/>
      <c r="BC90" s="27"/>
    </row>
    <row r="91" spans="1:55" x14ac:dyDescent="0.35">
      <c r="A91" s="6"/>
      <c r="E91" s="31"/>
      <c r="F91" s="23"/>
      <c r="BC91" s="27"/>
    </row>
    <row r="92" spans="1:55" x14ac:dyDescent="0.35">
      <c r="A92" s="6"/>
      <c r="E92" s="31"/>
      <c r="F92" s="23"/>
      <c r="BC92" s="27"/>
    </row>
    <row r="93" spans="1:55" x14ac:dyDescent="0.35">
      <c r="A93" s="6"/>
      <c r="E93" s="31"/>
      <c r="F93" s="23"/>
      <c r="BC93" s="27"/>
    </row>
    <row r="94" spans="1:55" x14ac:dyDescent="0.35">
      <c r="A94" s="6"/>
      <c r="E94" s="31"/>
      <c r="F94" s="23"/>
      <c r="BC94" s="27"/>
    </row>
    <row r="95" spans="1:55" x14ac:dyDescent="0.35">
      <c r="A95" s="6"/>
      <c r="E95" s="31"/>
      <c r="F95" s="23"/>
      <c r="BC95" s="27"/>
    </row>
    <row r="96" spans="1:55" x14ac:dyDescent="0.35">
      <c r="A96" s="6"/>
      <c r="E96" s="31"/>
      <c r="F96" s="23"/>
      <c r="BC96" s="27"/>
    </row>
    <row r="97" spans="1:55" x14ac:dyDescent="0.35">
      <c r="A97" s="6"/>
      <c r="E97" s="31"/>
      <c r="F97" s="23"/>
      <c r="BC97" s="27"/>
    </row>
    <row r="98" spans="1:55" x14ac:dyDescent="0.35">
      <c r="A98" s="6"/>
      <c r="E98" s="31"/>
      <c r="F98" s="23"/>
      <c r="BC98" s="27"/>
    </row>
    <row r="99" spans="1:55" x14ac:dyDescent="0.35">
      <c r="A99" s="6"/>
      <c r="E99" s="31"/>
      <c r="F99" s="23"/>
      <c r="BC99" s="27"/>
    </row>
    <row r="100" spans="1:55" x14ac:dyDescent="0.35">
      <c r="A100" s="6"/>
      <c r="E100" s="31"/>
      <c r="F100" s="23"/>
      <c r="BC100" s="27"/>
    </row>
    <row r="101" spans="1:55" x14ac:dyDescent="0.35">
      <c r="A101" s="6"/>
      <c r="E101" s="31"/>
      <c r="F101" s="23"/>
      <c r="BC101" s="27"/>
    </row>
    <row r="102" spans="1:55" x14ac:dyDescent="0.35">
      <c r="A102" s="6"/>
      <c r="E102" s="31"/>
      <c r="F102" s="23"/>
      <c r="BC102" s="27"/>
    </row>
    <row r="103" spans="1:55" x14ac:dyDescent="0.35">
      <c r="A103" s="6"/>
      <c r="E103" s="31"/>
      <c r="F103" s="23"/>
      <c r="BC103" s="27"/>
    </row>
    <row r="104" spans="1:55" x14ac:dyDescent="0.35">
      <c r="A104" s="6"/>
      <c r="E104" s="31"/>
      <c r="F104" s="23"/>
      <c r="BC104" s="27"/>
    </row>
    <row r="105" spans="1:55" x14ac:dyDescent="0.35">
      <c r="A105" s="6"/>
      <c r="E105" s="31"/>
      <c r="F105" s="23"/>
      <c r="BC105" s="27"/>
    </row>
    <row r="106" spans="1:55" x14ac:dyDescent="0.35">
      <c r="A106" s="6"/>
      <c r="E106" s="31"/>
      <c r="F106" s="23"/>
      <c r="BC106" s="27"/>
    </row>
    <row r="107" spans="1:55" x14ac:dyDescent="0.35">
      <c r="A107" s="6"/>
      <c r="E107" s="31"/>
      <c r="F107" s="23"/>
      <c r="BC107" s="27"/>
    </row>
    <row r="108" spans="1:55" x14ac:dyDescent="0.35">
      <c r="A108" s="6"/>
      <c r="E108" s="31"/>
      <c r="F108" s="23"/>
      <c r="BC108" s="27"/>
    </row>
    <row r="109" spans="1:55" x14ac:dyDescent="0.35">
      <c r="A109" s="6"/>
      <c r="E109" s="31"/>
      <c r="F109" s="23"/>
      <c r="BC109" s="27"/>
    </row>
    <row r="110" spans="1:55" x14ac:dyDescent="0.35">
      <c r="A110" s="6"/>
      <c r="E110" s="31"/>
      <c r="F110" s="23"/>
      <c r="BC110" s="27"/>
    </row>
    <row r="111" spans="1:55" x14ac:dyDescent="0.35">
      <c r="A111" s="6"/>
      <c r="E111" s="31"/>
      <c r="F111" s="23"/>
      <c r="BC111" s="27"/>
    </row>
    <row r="112" spans="1:55" x14ac:dyDescent="0.35">
      <c r="A112" s="6"/>
      <c r="E112" s="31"/>
      <c r="F112" s="23"/>
      <c r="BC112" s="27"/>
    </row>
    <row r="113" spans="1:55" x14ac:dyDescent="0.35">
      <c r="A113" s="6"/>
      <c r="E113" s="31"/>
      <c r="F113" s="23"/>
      <c r="BC113" s="27"/>
    </row>
    <row r="114" spans="1:55" x14ac:dyDescent="0.35">
      <c r="A114" s="6"/>
      <c r="E114" s="31"/>
      <c r="F114" s="23"/>
      <c r="BC114" s="27"/>
    </row>
    <row r="115" spans="1:55" x14ac:dyDescent="0.35">
      <c r="A115" s="6"/>
      <c r="E115" s="31"/>
      <c r="F115" s="23"/>
      <c r="BC115" s="27"/>
    </row>
    <row r="116" spans="1:55" x14ac:dyDescent="0.35">
      <c r="A116" s="6"/>
      <c r="E116" s="31"/>
      <c r="F116" s="23"/>
      <c r="BC116" s="27"/>
    </row>
    <row r="117" spans="1:55" x14ac:dyDescent="0.35">
      <c r="A117" s="6"/>
      <c r="E117" s="31"/>
      <c r="F117" s="23"/>
      <c r="BC117" s="27"/>
    </row>
    <row r="118" spans="1:55" x14ac:dyDescent="0.35">
      <c r="A118" s="26"/>
      <c r="B118" s="33"/>
      <c r="C118" s="63"/>
      <c r="E118" s="31"/>
      <c r="F118" s="23"/>
      <c r="BC118" s="27"/>
    </row>
    <row r="119" spans="1:55" x14ac:dyDescent="0.35">
      <c r="A119" s="6"/>
      <c r="E119" s="31"/>
      <c r="F119" s="23"/>
      <c r="BC119" s="27"/>
    </row>
    <row r="120" spans="1:55" x14ac:dyDescent="0.35">
      <c r="A120" s="6"/>
      <c r="E120" s="31"/>
      <c r="F120" s="23"/>
      <c r="BC120" s="27"/>
    </row>
    <row r="121" spans="1:55" x14ac:dyDescent="0.35">
      <c r="A121" s="6"/>
      <c r="E121" s="31"/>
      <c r="F121" s="23"/>
      <c r="BC121" s="27"/>
    </row>
    <row r="122" spans="1:55" x14ac:dyDescent="0.35">
      <c r="A122" s="6"/>
      <c r="E122" s="31"/>
      <c r="F122" s="23"/>
      <c r="BC122" s="27"/>
    </row>
    <row r="123" spans="1:55" x14ac:dyDescent="0.35">
      <c r="A123" s="6"/>
      <c r="E123" s="31"/>
      <c r="F123" s="23"/>
      <c r="BC123" s="27"/>
    </row>
    <row r="124" spans="1:55" x14ac:dyDescent="0.35">
      <c r="A124" s="6"/>
      <c r="E124" s="31"/>
      <c r="F124" s="23"/>
      <c r="BC124" s="27"/>
    </row>
    <row r="125" spans="1:55" x14ac:dyDescent="0.35">
      <c r="A125" s="6"/>
      <c r="E125" s="31"/>
      <c r="F125" s="23"/>
      <c r="BC125" s="27"/>
    </row>
    <row r="126" spans="1:55" x14ac:dyDescent="0.35">
      <c r="A126" s="6"/>
      <c r="E126" s="31"/>
      <c r="F126" s="23"/>
      <c r="BC126" s="27"/>
    </row>
    <row r="127" spans="1:55" x14ac:dyDescent="0.35">
      <c r="A127" s="6"/>
      <c r="E127" s="31"/>
      <c r="F127" s="23"/>
      <c r="BC127" s="27"/>
    </row>
    <row r="128" spans="1:55" x14ac:dyDescent="0.35">
      <c r="A128" s="6"/>
      <c r="E128" s="31"/>
      <c r="F128" s="23"/>
      <c r="BC128" s="27"/>
    </row>
    <row r="129" spans="1:55" x14ac:dyDescent="0.35">
      <c r="A129" s="6"/>
      <c r="E129" s="31"/>
      <c r="F129" s="23"/>
      <c r="BC129" s="27"/>
    </row>
    <row r="130" spans="1:55" x14ac:dyDescent="0.35">
      <c r="A130" s="6"/>
      <c r="E130" s="31"/>
      <c r="F130" s="23"/>
      <c r="BC130" s="27"/>
    </row>
    <row r="131" spans="1:55" x14ac:dyDescent="0.35">
      <c r="A131" s="6"/>
      <c r="E131" s="31"/>
      <c r="F131" s="23"/>
      <c r="BC131" s="27"/>
    </row>
    <row r="132" spans="1:55" x14ac:dyDescent="0.35">
      <c r="A132" s="6"/>
      <c r="E132" s="31"/>
      <c r="F132" s="23"/>
      <c r="BC132" s="27"/>
    </row>
    <row r="133" spans="1:55" x14ac:dyDescent="0.35">
      <c r="A133" s="6"/>
      <c r="E133" s="31"/>
      <c r="F133" s="23"/>
      <c r="BC133" s="27"/>
    </row>
    <row r="134" spans="1:55" x14ac:dyDescent="0.35">
      <c r="A134" s="6"/>
      <c r="E134" s="31"/>
      <c r="F134" s="23"/>
      <c r="BC134" s="27"/>
    </row>
    <row r="135" spans="1:55" x14ac:dyDescent="0.35">
      <c r="A135" s="6"/>
      <c r="E135" s="31"/>
      <c r="F135" s="23"/>
      <c r="BC135" s="27"/>
    </row>
    <row r="136" spans="1:55" x14ac:dyDescent="0.35">
      <c r="A136" s="6"/>
      <c r="E136" s="31"/>
      <c r="F136" s="23"/>
      <c r="BC136" s="27"/>
    </row>
    <row r="137" spans="1:55" x14ac:dyDescent="0.35">
      <c r="A137" s="6"/>
      <c r="E137" s="31"/>
      <c r="F137" s="23"/>
      <c r="BC137" s="27"/>
    </row>
    <row r="138" spans="1:55" x14ac:dyDescent="0.35">
      <c r="A138" s="6"/>
      <c r="E138" s="31"/>
      <c r="F138" s="23"/>
      <c r="BC138" s="27"/>
    </row>
    <row r="139" spans="1:55" x14ac:dyDescent="0.35">
      <c r="A139" s="6"/>
      <c r="E139" s="31"/>
      <c r="F139" s="23"/>
      <c r="BC139" s="27"/>
    </row>
    <row r="140" spans="1:55" x14ac:dyDescent="0.35">
      <c r="A140" s="6"/>
      <c r="E140" s="31"/>
      <c r="F140" s="23"/>
      <c r="BC140" s="27"/>
    </row>
    <row r="141" spans="1:55" x14ac:dyDescent="0.35">
      <c r="A141" s="6"/>
      <c r="E141" s="31"/>
      <c r="F141" s="23"/>
      <c r="BC141" s="27"/>
    </row>
    <row r="142" spans="1:55" x14ac:dyDescent="0.35">
      <c r="A142" s="6"/>
      <c r="E142" s="31"/>
      <c r="F142" s="23"/>
      <c r="BC142" s="27"/>
    </row>
    <row r="143" spans="1:55" x14ac:dyDescent="0.35">
      <c r="A143" s="6"/>
      <c r="E143" s="31"/>
      <c r="F143" s="23"/>
      <c r="BC143" s="27"/>
    </row>
    <row r="144" spans="1:55" x14ac:dyDescent="0.35">
      <c r="A144" s="6"/>
      <c r="E144" s="31"/>
      <c r="F144" s="23"/>
      <c r="BC144" s="27"/>
    </row>
    <row r="145" spans="1:55" x14ac:dyDescent="0.35">
      <c r="A145" s="6"/>
      <c r="E145" s="31"/>
      <c r="F145" s="23"/>
      <c r="BC145" s="27"/>
    </row>
    <row r="146" spans="1:55" x14ac:dyDescent="0.35">
      <c r="A146" s="6"/>
      <c r="E146" s="31"/>
      <c r="F146" s="23"/>
      <c r="BC146" s="27"/>
    </row>
    <row r="147" spans="1:55" x14ac:dyDescent="0.35">
      <c r="A147" s="6"/>
      <c r="E147" s="31"/>
      <c r="F147" s="23"/>
      <c r="BC147" s="27"/>
    </row>
    <row r="148" spans="1:55" x14ac:dyDescent="0.35">
      <c r="A148" s="6"/>
      <c r="BC148" s="27"/>
    </row>
    <row r="149" spans="1:55" x14ac:dyDescent="0.35">
      <c r="A149" s="6"/>
      <c r="BC149" s="27"/>
    </row>
    <row r="150" spans="1:55" x14ac:dyDescent="0.35">
      <c r="A150" s="6"/>
      <c r="BC150" s="27"/>
    </row>
    <row r="151" spans="1:55" x14ac:dyDescent="0.35">
      <c r="A151" s="6"/>
      <c r="BC151" s="27"/>
    </row>
    <row r="152" spans="1:55" x14ac:dyDescent="0.35">
      <c r="A152" s="6"/>
      <c r="BC152" s="27"/>
    </row>
    <row r="153" spans="1:55" x14ac:dyDescent="0.35">
      <c r="A153" s="6"/>
      <c r="BC153" s="27"/>
    </row>
    <row r="154" spans="1:55" x14ac:dyDescent="0.35">
      <c r="A154" s="6"/>
      <c r="BC154" s="27"/>
    </row>
    <row r="155" spans="1:55" x14ac:dyDescent="0.35">
      <c r="A155" s="6"/>
      <c r="BC155" s="27"/>
    </row>
    <row r="156" spans="1:55" x14ac:dyDescent="0.35">
      <c r="A156" s="6"/>
      <c r="BC156" s="27"/>
    </row>
    <row r="157" spans="1:55" x14ac:dyDescent="0.35">
      <c r="A157" s="6"/>
      <c r="BC157" s="27"/>
    </row>
    <row r="158" spans="1:55" x14ac:dyDescent="0.35">
      <c r="A158" s="6"/>
      <c r="BC158" s="27"/>
    </row>
    <row r="159" spans="1:55" x14ac:dyDescent="0.35">
      <c r="A159" s="6"/>
      <c r="BC159" s="27"/>
    </row>
    <row r="160" spans="1:55" x14ac:dyDescent="0.35">
      <c r="A160" s="6"/>
      <c r="BC160" s="27"/>
    </row>
    <row r="161" spans="1:55" x14ac:dyDescent="0.35">
      <c r="A161" s="6"/>
      <c r="BC161" s="27"/>
    </row>
    <row r="162" spans="1:55" x14ac:dyDescent="0.35">
      <c r="A162" s="6"/>
      <c r="BC162" s="27"/>
    </row>
    <row r="163" spans="1:55" x14ac:dyDescent="0.35">
      <c r="A163" s="6"/>
      <c r="BC163" s="27"/>
    </row>
    <row r="164" spans="1:55" x14ac:dyDescent="0.35">
      <c r="A164" s="6"/>
      <c r="BC164" s="27"/>
    </row>
    <row r="165" spans="1:55" x14ac:dyDescent="0.35">
      <c r="A165" s="6"/>
      <c r="BC165" s="27"/>
    </row>
    <row r="166" spans="1:55" x14ac:dyDescent="0.35">
      <c r="A166" s="6"/>
      <c r="BC166" s="27"/>
    </row>
    <row r="167" spans="1:55" x14ac:dyDescent="0.35">
      <c r="A167" s="6"/>
      <c r="BC167" s="27"/>
    </row>
    <row r="168" spans="1:55" x14ac:dyDescent="0.35">
      <c r="A168" s="6"/>
      <c r="BC168" s="27"/>
    </row>
    <row r="169" spans="1:55" x14ac:dyDescent="0.35">
      <c r="A169" s="6"/>
      <c r="BC169" s="27"/>
    </row>
    <row r="170" spans="1:55" x14ac:dyDescent="0.35">
      <c r="A170" s="6"/>
      <c r="BC170" s="27"/>
    </row>
    <row r="171" spans="1:55" x14ac:dyDescent="0.35">
      <c r="A171" s="6"/>
      <c r="BC171" s="27"/>
    </row>
    <row r="172" spans="1:55" x14ac:dyDescent="0.35">
      <c r="A172" s="6"/>
      <c r="BC172" s="27"/>
    </row>
    <row r="173" spans="1:55" x14ac:dyDescent="0.35">
      <c r="A173" s="6"/>
      <c r="BC173" s="27"/>
    </row>
    <row r="174" spans="1:55" x14ac:dyDescent="0.35">
      <c r="A174" s="6"/>
      <c r="BC174" s="27"/>
    </row>
    <row r="175" spans="1:55" x14ac:dyDescent="0.35">
      <c r="A175" s="6"/>
      <c r="BC175" s="27"/>
    </row>
    <row r="176" spans="1:55" x14ac:dyDescent="0.35">
      <c r="A176" s="6"/>
      <c r="BC176" s="27"/>
    </row>
    <row r="177" spans="1:55" x14ac:dyDescent="0.35">
      <c r="A177" s="6"/>
      <c r="BC177" s="27"/>
    </row>
    <row r="178" spans="1:55" x14ac:dyDescent="0.35">
      <c r="A178" s="6"/>
      <c r="BC178" s="27"/>
    </row>
    <row r="179" spans="1:55" x14ac:dyDescent="0.35">
      <c r="A179" s="6"/>
      <c r="BC179" s="27"/>
    </row>
    <row r="180" spans="1:55" x14ac:dyDescent="0.35">
      <c r="A180" s="6"/>
      <c r="BC180" s="27"/>
    </row>
    <row r="181" spans="1:55" x14ac:dyDescent="0.35">
      <c r="A181" s="6"/>
      <c r="BC181" s="27"/>
    </row>
    <row r="182" spans="1:55" x14ac:dyDescent="0.35">
      <c r="A182" s="6"/>
      <c r="BC182" s="27"/>
    </row>
    <row r="183" spans="1:55" x14ac:dyDescent="0.35">
      <c r="A183" s="6"/>
      <c r="BC183" s="27"/>
    </row>
    <row r="184" spans="1:55" x14ac:dyDescent="0.35">
      <c r="A184" s="6"/>
      <c r="BC184" s="27"/>
    </row>
    <row r="185" spans="1:55" x14ac:dyDescent="0.35">
      <c r="A185" s="6"/>
      <c r="BC185" s="27"/>
    </row>
    <row r="186" spans="1:55" x14ac:dyDescent="0.35">
      <c r="A186" s="6"/>
      <c r="BC186" s="27"/>
    </row>
    <row r="187" spans="1:55" x14ac:dyDescent="0.35">
      <c r="A187" s="6"/>
      <c r="BC187" s="27"/>
    </row>
    <row r="188" spans="1:55" x14ac:dyDescent="0.35">
      <c r="A188" s="6"/>
      <c r="BC188" s="27"/>
    </row>
    <row r="189" spans="1:55" x14ac:dyDescent="0.35">
      <c r="A189" s="6"/>
      <c r="BC189" s="27"/>
    </row>
    <row r="190" spans="1:55" x14ac:dyDescent="0.35">
      <c r="A190" s="6"/>
      <c r="BC190" s="27"/>
    </row>
    <row r="191" spans="1:55" x14ac:dyDescent="0.35">
      <c r="A191" s="6"/>
      <c r="BC191" s="27"/>
    </row>
    <row r="192" spans="1:55" x14ac:dyDescent="0.35">
      <c r="A192" s="6"/>
      <c r="BC192" s="27"/>
    </row>
    <row r="193" spans="1:55" x14ac:dyDescent="0.35">
      <c r="A193" s="6"/>
      <c r="BC193" s="27"/>
    </row>
    <row r="194" spans="1:55" x14ac:dyDescent="0.35">
      <c r="A194" s="6"/>
      <c r="BC194" s="27"/>
    </row>
    <row r="195" spans="1:55" x14ac:dyDescent="0.35">
      <c r="A195" s="6"/>
      <c r="BC195" s="27"/>
    </row>
    <row r="196" spans="1:55" x14ac:dyDescent="0.35">
      <c r="A196" s="6"/>
      <c r="BC196" s="27"/>
    </row>
    <row r="197" spans="1:55" x14ac:dyDescent="0.35">
      <c r="A197" s="6"/>
      <c r="BC197" s="27"/>
    </row>
    <row r="198" spans="1:55" x14ac:dyDescent="0.35">
      <c r="A198" s="6"/>
      <c r="BC198" s="27"/>
    </row>
    <row r="199" spans="1:55" x14ac:dyDescent="0.35">
      <c r="A199" s="6"/>
      <c r="BC199" s="27"/>
    </row>
    <row r="200" spans="1:55" x14ac:dyDescent="0.35">
      <c r="A200" s="6"/>
      <c r="BC200" s="27"/>
    </row>
    <row r="201" spans="1:55" x14ac:dyDescent="0.35">
      <c r="A201" s="6"/>
      <c r="BC201" s="27"/>
    </row>
    <row r="202" spans="1:55" x14ac:dyDescent="0.35">
      <c r="A202" s="6"/>
      <c r="BC202" s="27"/>
    </row>
    <row r="203" spans="1:55" x14ac:dyDescent="0.35">
      <c r="A203" s="6"/>
      <c r="BC203" s="27"/>
    </row>
    <row r="204" spans="1:55" x14ac:dyDescent="0.35">
      <c r="A204" s="6"/>
      <c r="BC204" s="27"/>
    </row>
    <row r="205" spans="1:55" x14ac:dyDescent="0.35">
      <c r="A205" s="6"/>
      <c r="BC205" s="27"/>
    </row>
    <row r="206" spans="1:55" x14ac:dyDescent="0.35">
      <c r="A206" s="6"/>
      <c r="BC206" s="27"/>
    </row>
    <row r="207" spans="1:55" x14ac:dyDescent="0.35">
      <c r="A207" s="6"/>
      <c r="BC207" s="27"/>
    </row>
    <row r="208" spans="1:55" x14ac:dyDescent="0.35">
      <c r="A208" s="6"/>
      <c r="BC208" s="27"/>
    </row>
    <row r="209" spans="1:55" x14ac:dyDescent="0.35">
      <c r="A209" s="6"/>
      <c r="BC209" s="27"/>
    </row>
    <row r="210" spans="1:55" x14ac:dyDescent="0.35">
      <c r="A210" s="6"/>
      <c r="BC210" s="27"/>
    </row>
    <row r="211" spans="1:55" x14ac:dyDescent="0.35">
      <c r="A211" s="6"/>
      <c r="BC211" s="27"/>
    </row>
    <row r="212" spans="1:55" x14ac:dyDescent="0.35">
      <c r="A212" s="6"/>
      <c r="BC212" s="27"/>
    </row>
    <row r="213" spans="1:55" x14ac:dyDescent="0.35">
      <c r="A213" s="6"/>
      <c r="BC213" s="27"/>
    </row>
    <row r="214" spans="1:55" x14ac:dyDescent="0.35">
      <c r="A214" s="6"/>
      <c r="BC214" s="27"/>
    </row>
    <row r="215" spans="1:55" x14ac:dyDescent="0.35">
      <c r="A215" s="6"/>
      <c r="BC215" s="27"/>
    </row>
    <row r="216" spans="1:55" x14ac:dyDescent="0.35">
      <c r="A216" s="6"/>
      <c r="BC216" s="27"/>
    </row>
    <row r="217" spans="1:55" x14ac:dyDescent="0.35">
      <c r="A217" s="6"/>
      <c r="BC217" s="27"/>
    </row>
    <row r="218" spans="1:55" x14ac:dyDescent="0.35">
      <c r="A218" s="6"/>
      <c r="BC218" s="27"/>
    </row>
    <row r="219" spans="1:55" x14ac:dyDescent="0.35">
      <c r="A219" s="6"/>
      <c r="BC219" s="27"/>
    </row>
    <row r="220" spans="1:55" x14ac:dyDescent="0.35">
      <c r="A220" s="6"/>
      <c r="BC220" s="27"/>
    </row>
    <row r="221" spans="1:55" x14ac:dyDescent="0.35">
      <c r="A221" s="6"/>
      <c r="BC221" s="27"/>
    </row>
    <row r="222" spans="1:55" x14ac:dyDescent="0.35">
      <c r="A222" s="6"/>
      <c r="BC222" s="27"/>
    </row>
    <row r="223" spans="1:55" x14ac:dyDescent="0.35">
      <c r="A223" s="6"/>
      <c r="BC223" s="27"/>
    </row>
    <row r="224" spans="1:55" x14ac:dyDescent="0.35">
      <c r="A224" s="6"/>
      <c r="BC224" s="27"/>
    </row>
    <row r="225" spans="1:55" x14ac:dyDescent="0.35">
      <c r="A225" s="6"/>
      <c r="BC225" s="27"/>
    </row>
    <row r="226" spans="1:55" x14ac:dyDescent="0.35">
      <c r="A226" s="6"/>
      <c r="BC226" s="27"/>
    </row>
    <row r="227" spans="1:55" x14ac:dyDescent="0.35">
      <c r="A227" s="6"/>
      <c r="BC227" s="27"/>
    </row>
    <row r="228" spans="1:55" x14ac:dyDescent="0.35">
      <c r="A228" s="6"/>
      <c r="BC228" s="27"/>
    </row>
    <row r="229" spans="1:55" x14ac:dyDescent="0.35">
      <c r="A229" s="6"/>
      <c r="BC229" s="27"/>
    </row>
    <row r="230" spans="1:55" x14ac:dyDescent="0.35">
      <c r="A230" s="6"/>
      <c r="BC230" s="27"/>
    </row>
    <row r="231" spans="1:55" x14ac:dyDescent="0.35">
      <c r="A231" s="6"/>
      <c r="BC231" s="27"/>
    </row>
    <row r="232" spans="1:55" x14ac:dyDescent="0.35">
      <c r="A232" s="6"/>
      <c r="BC232" s="27"/>
    </row>
    <row r="233" spans="1:55" x14ac:dyDescent="0.35">
      <c r="A233" s="6"/>
      <c r="BC233" s="27"/>
    </row>
    <row r="234" spans="1:55" x14ac:dyDescent="0.35">
      <c r="A234" s="6"/>
      <c r="BC234" s="27"/>
    </row>
    <row r="235" spans="1:55" x14ac:dyDescent="0.35">
      <c r="A235" s="6"/>
      <c r="BC235" s="27"/>
    </row>
    <row r="236" spans="1:55" x14ac:dyDescent="0.35">
      <c r="BC236" s="27"/>
    </row>
    <row r="237" spans="1:55" x14ac:dyDescent="0.35">
      <c r="BC237" s="27"/>
    </row>
    <row r="238" spans="1:55" x14ac:dyDescent="0.35">
      <c r="BC238" s="27"/>
    </row>
    <row r="239" spans="1:55" x14ac:dyDescent="0.35">
      <c r="BC239" s="27"/>
    </row>
    <row r="240" spans="1:55" x14ac:dyDescent="0.35">
      <c r="BC240" s="27"/>
    </row>
    <row r="241" spans="55:55" x14ac:dyDescent="0.35">
      <c r="BC241" s="27"/>
    </row>
    <row r="242" spans="55:55" x14ac:dyDescent="0.35">
      <c r="BC242" s="27"/>
    </row>
    <row r="243" spans="55:55" x14ac:dyDescent="0.35">
      <c r="BC243" s="27"/>
    </row>
    <row r="244" spans="55:55" x14ac:dyDescent="0.35">
      <c r="BC244" s="27"/>
    </row>
    <row r="245" spans="55:55" x14ac:dyDescent="0.35">
      <c r="BC245" s="27"/>
    </row>
    <row r="246" spans="55:55" x14ac:dyDescent="0.35">
      <c r="BC246" s="27"/>
    </row>
    <row r="247" spans="55:55" x14ac:dyDescent="0.35">
      <c r="BC247" s="27"/>
    </row>
    <row r="248" spans="55:55" x14ac:dyDescent="0.35">
      <c r="BC248" s="27"/>
    </row>
    <row r="249" spans="55:55" x14ac:dyDescent="0.35">
      <c r="BC249" s="27"/>
    </row>
    <row r="250" spans="55:55" x14ac:dyDescent="0.35">
      <c r="BC250" s="27"/>
    </row>
    <row r="251" spans="55:55" x14ac:dyDescent="0.35">
      <c r="BC251" s="27"/>
    </row>
    <row r="252" spans="55:55" x14ac:dyDescent="0.35">
      <c r="BC252" s="27"/>
    </row>
    <row r="253" spans="55:55" x14ac:dyDescent="0.35">
      <c r="BC253" s="27"/>
    </row>
    <row r="254" spans="55:55" x14ac:dyDescent="0.35">
      <c r="BC254" s="27"/>
    </row>
    <row r="255" spans="55:55" x14ac:dyDescent="0.35">
      <c r="BC255" s="27"/>
    </row>
    <row r="256" spans="55:55" x14ac:dyDescent="0.35">
      <c r="BC256" s="27"/>
    </row>
    <row r="257" spans="55:55" x14ac:dyDescent="0.35">
      <c r="BC257" s="27"/>
    </row>
    <row r="258" spans="55:55" x14ac:dyDescent="0.35">
      <c r="BC258" s="27"/>
    </row>
    <row r="259" spans="55:55" x14ac:dyDescent="0.35">
      <c r="BC259" s="27"/>
    </row>
    <row r="260" spans="55:55" x14ac:dyDescent="0.35">
      <c r="BC260" s="27"/>
    </row>
    <row r="261" spans="55:55" x14ac:dyDescent="0.35">
      <c r="BC261" s="27"/>
    </row>
    <row r="262" spans="55:55" x14ac:dyDescent="0.35">
      <c r="BC262" s="27"/>
    </row>
    <row r="263" spans="55:55" x14ac:dyDescent="0.35">
      <c r="BC263" s="27"/>
    </row>
    <row r="264" spans="55:55" x14ac:dyDescent="0.35">
      <c r="BC264" s="27"/>
    </row>
    <row r="265" spans="55:55" x14ac:dyDescent="0.35">
      <c r="BC265" s="27"/>
    </row>
    <row r="266" spans="55:55" x14ac:dyDescent="0.35">
      <c r="BC266" s="27"/>
    </row>
    <row r="267" spans="55:55" x14ac:dyDescent="0.35">
      <c r="BC267" s="27"/>
    </row>
    <row r="268" spans="55:55" x14ac:dyDescent="0.35">
      <c r="BC268" s="27"/>
    </row>
    <row r="269" spans="55:55" x14ac:dyDescent="0.35">
      <c r="BC269" s="27"/>
    </row>
    <row r="270" spans="55:55" x14ac:dyDescent="0.35">
      <c r="BC270" s="27"/>
    </row>
    <row r="271" spans="55:55" x14ac:dyDescent="0.35">
      <c r="BC271" s="27"/>
    </row>
    <row r="272" spans="55:55" x14ac:dyDescent="0.35">
      <c r="BC272" s="27"/>
    </row>
    <row r="273" spans="55:55" x14ac:dyDescent="0.35">
      <c r="BC273" s="27"/>
    </row>
    <row r="274" spans="55:55" x14ac:dyDescent="0.35">
      <c r="BC274" s="27"/>
    </row>
    <row r="275" spans="55:55" x14ac:dyDescent="0.35">
      <c r="BC275" s="27"/>
    </row>
    <row r="276" spans="55:55" x14ac:dyDescent="0.35">
      <c r="BC276" s="27"/>
    </row>
    <row r="277" spans="55:55" x14ac:dyDescent="0.35">
      <c r="BC277" s="27"/>
    </row>
    <row r="278" spans="55:55" x14ac:dyDescent="0.35">
      <c r="BC278" s="27"/>
    </row>
    <row r="279" spans="55:55" x14ac:dyDescent="0.35">
      <c r="BC279" s="27"/>
    </row>
    <row r="280" spans="55:55" x14ac:dyDescent="0.35">
      <c r="BC280" s="27"/>
    </row>
    <row r="281" spans="55:55" x14ac:dyDescent="0.35">
      <c r="BC281" s="27"/>
    </row>
    <row r="282" spans="55:55" x14ac:dyDescent="0.35">
      <c r="BC282" s="27"/>
    </row>
    <row r="283" spans="55:55" x14ac:dyDescent="0.35">
      <c r="BC283" s="27"/>
    </row>
    <row r="284" spans="55:55" x14ac:dyDescent="0.35">
      <c r="BC284" s="27"/>
    </row>
    <row r="285" spans="55:55" x14ac:dyDescent="0.35">
      <c r="BC285" s="27"/>
    </row>
    <row r="286" spans="55:55" x14ac:dyDescent="0.35">
      <c r="BC286" s="27"/>
    </row>
    <row r="287" spans="55:55" x14ac:dyDescent="0.35">
      <c r="BC287" s="27"/>
    </row>
    <row r="288" spans="55:55" x14ac:dyDescent="0.35">
      <c r="BC288" s="27"/>
    </row>
    <row r="289" spans="55:55" x14ac:dyDescent="0.35">
      <c r="BC289" s="27"/>
    </row>
    <row r="290" spans="55:55" x14ac:dyDescent="0.35">
      <c r="BC290" s="27"/>
    </row>
    <row r="291" spans="55:55" x14ac:dyDescent="0.35">
      <c r="BC291" s="27"/>
    </row>
    <row r="292" spans="55:55" x14ac:dyDescent="0.35">
      <c r="BC292" s="27"/>
    </row>
    <row r="293" spans="55:55" x14ac:dyDescent="0.35">
      <c r="BC293" s="27"/>
    </row>
    <row r="294" spans="55:55" x14ac:dyDescent="0.35">
      <c r="BC294" s="27"/>
    </row>
    <row r="295" spans="55:55" x14ac:dyDescent="0.35">
      <c r="BC295" s="27"/>
    </row>
    <row r="296" spans="55:55" x14ac:dyDescent="0.35">
      <c r="BC296" s="27"/>
    </row>
    <row r="297" spans="55:55" x14ac:dyDescent="0.35">
      <c r="BC297" s="27"/>
    </row>
    <row r="298" spans="55:55" x14ac:dyDescent="0.35">
      <c r="BC298" s="27"/>
    </row>
    <row r="299" spans="55:55" x14ac:dyDescent="0.35">
      <c r="BC299" s="27"/>
    </row>
    <row r="300" spans="55:55" x14ac:dyDescent="0.35">
      <c r="BC300" s="27"/>
    </row>
    <row r="301" spans="55:55" x14ac:dyDescent="0.35">
      <c r="BC301" s="27"/>
    </row>
    <row r="302" spans="55:55" x14ac:dyDescent="0.35">
      <c r="BC302" s="27"/>
    </row>
    <row r="303" spans="55:55" x14ac:dyDescent="0.35">
      <c r="BC303" s="27"/>
    </row>
    <row r="304" spans="55:55" x14ac:dyDescent="0.35">
      <c r="BC304" s="27"/>
    </row>
    <row r="305" spans="55:55" x14ac:dyDescent="0.35">
      <c r="BC305" s="27"/>
    </row>
    <row r="306" spans="55:55" x14ac:dyDescent="0.35">
      <c r="BC306" s="27"/>
    </row>
    <row r="307" spans="55:55" x14ac:dyDescent="0.35">
      <c r="BC307" s="27"/>
    </row>
    <row r="308" spans="55:55" x14ac:dyDescent="0.35">
      <c r="BC308" s="27"/>
    </row>
    <row r="309" spans="55:55" x14ac:dyDescent="0.35">
      <c r="BC309" s="27"/>
    </row>
    <row r="310" spans="55:55" x14ac:dyDescent="0.35">
      <c r="BC310" s="27"/>
    </row>
    <row r="311" spans="55:55" x14ac:dyDescent="0.35">
      <c r="BC311" s="27"/>
    </row>
    <row r="312" spans="55:55" x14ac:dyDescent="0.35">
      <c r="BC312" s="27"/>
    </row>
    <row r="313" spans="55:55" x14ac:dyDescent="0.35">
      <c r="BC313" s="27"/>
    </row>
    <row r="314" spans="55:55" x14ac:dyDescent="0.35">
      <c r="BC314" s="27"/>
    </row>
    <row r="315" spans="55:55" x14ac:dyDescent="0.35">
      <c r="BC315" s="27"/>
    </row>
    <row r="316" spans="55:55" x14ac:dyDescent="0.35">
      <c r="BC316" s="27"/>
    </row>
    <row r="317" spans="55:55" x14ac:dyDescent="0.35">
      <c r="BC317" s="27"/>
    </row>
    <row r="318" spans="55:55" x14ac:dyDescent="0.35">
      <c r="BC318" s="27"/>
    </row>
    <row r="319" spans="55:55" x14ac:dyDescent="0.35">
      <c r="BC319" s="27"/>
    </row>
    <row r="320" spans="55:55" x14ac:dyDescent="0.35">
      <c r="BC320" s="27"/>
    </row>
    <row r="321" spans="55:55" x14ac:dyDescent="0.35">
      <c r="BC321" s="27"/>
    </row>
    <row r="322" spans="55:55" x14ac:dyDescent="0.35">
      <c r="BC322" s="27"/>
    </row>
    <row r="323" spans="55:55" x14ac:dyDescent="0.35">
      <c r="BC323" s="27"/>
    </row>
    <row r="324" spans="55:55" x14ac:dyDescent="0.35">
      <c r="BC324" s="27"/>
    </row>
    <row r="325" spans="55:55" x14ac:dyDescent="0.35">
      <c r="BC325" s="27"/>
    </row>
    <row r="326" spans="55:55" x14ac:dyDescent="0.35">
      <c r="BC326" s="27"/>
    </row>
    <row r="327" spans="55:55" x14ac:dyDescent="0.35">
      <c r="BC327" s="27"/>
    </row>
    <row r="328" spans="55:55" x14ac:dyDescent="0.35">
      <c r="BC328" s="27"/>
    </row>
    <row r="329" spans="55:55" x14ac:dyDescent="0.35">
      <c r="BC329" s="27"/>
    </row>
    <row r="330" spans="55:55" x14ac:dyDescent="0.35">
      <c r="BC330" s="27"/>
    </row>
    <row r="331" spans="55:55" x14ac:dyDescent="0.35">
      <c r="BC331" s="27"/>
    </row>
    <row r="332" spans="55:55" x14ac:dyDescent="0.35">
      <c r="BC332" s="27"/>
    </row>
    <row r="333" spans="55:55" x14ac:dyDescent="0.35">
      <c r="BC333" s="27"/>
    </row>
    <row r="334" spans="55:55" x14ac:dyDescent="0.35">
      <c r="BC334" s="27"/>
    </row>
    <row r="335" spans="55:55" x14ac:dyDescent="0.35">
      <c r="BC335" s="27"/>
    </row>
    <row r="336" spans="55:55" x14ac:dyDescent="0.35">
      <c r="BC336" s="27"/>
    </row>
    <row r="337" spans="55:55" x14ac:dyDescent="0.35">
      <c r="BC337" s="27"/>
    </row>
    <row r="338" spans="55:55" x14ac:dyDescent="0.35">
      <c r="BC338" s="27"/>
    </row>
    <row r="339" spans="55:55" x14ac:dyDescent="0.35">
      <c r="BC339" s="27"/>
    </row>
    <row r="340" spans="55:55" x14ac:dyDescent="0.35">
      <c r="BC340" s="27"/>
    </row>
    <row r="341" spans="55:55" x14ac:dyDescent="0.35">
      <c r="BC341" s="27"/>
    </row>
    <row r="342" spans="55:55" x14ac:dyDescent="0.35">
      <c r="BC342" s="27"/>
    </row>
    <row r="343" spans="55:55" x14ac:dyDescent="0.35">
      <c r="BC343" s="27"/>
    </row>
    <row r="344" spans="55:55" x14ac:dyDescent="0.35">
      <c r="BC344" s="27"/>
    </row>
    <row r="345" spans="55:55" x14ac:dyDescent="0.35">
      <c r="BC345" s="27"/>
    </row>
    <row r="346" spans="55:55" x14ac:dyDescent="0.35">
      <c r="BC346" s="27"/>
    </row>
    <row r="347" spans="55:55" x14ac:dyDescent="0.35">
      <c r="BC347" s="27"/>
    </row>
    <row r="348" spans="55:55" x14ac:dyDescent="0.35">
      <c r="BC348" s="27"/>
    </row>
    <row r="349" spans="55:55" x14ac:dyDescent="0.35">
      <c r="BC349" s="27"/>
    </row>
    <row r="350" spans="55:55" x14ac:dyDescent="0.35">
      <c r="BC350" s="27"/>
    </row>
    <row r="351" spans="55:55" x14ac:dyDescent="0.35">
      <c r="BC351" s="27"/>
    </row>
    <row r="352" spans="55:55" x14ac:dyDescent="0.35">
      <c r="BC352" s="27"/>
    </row>
    <row r="353" spans="55:55" x14ac:dyDescent="0.35">
      <c r="BC353" s="27"/>
    </row>
    <row r="354" spans="55:55" x14ac:dyDescent="0.35">
      <c r="BC354" s="27"/>
    </row>
    <row r="355" spans="55:55" x14ac:dyDescent="0.35">
      <c r="BC355" s="27"/>
    </row>
    <row r="356" spans="55:55" x14ac:dyDescent="0.35">
      <c r="BC356" s="27"/>
    </row>
    <row r="357" spans="55:55" x14ac:dyDescent="0.35">
      <c r="BC357" s="27"/>
    </row>
    <row r="358" spans="55:55" x14ac:dyDescent="0.35">
      <c r="BC358" s="27"/>
    </row>
    <row r="359" spans="55:55" x14ac:dyDescent="0.35">
      <c r="BC359" s="27"/>
    </row>
    <row r="360" spans="55:55" x14ac:dyDescent="0.35">
      <c r="BC360" s="27"/>
    </row>
    <row r="361" spans="55:55" x14ac:dyDescent="0.35">
      <c r="BC361" s="27"/>
    </row>
    <row r="362" spans="55:55" x14ac:dyDescent="0.35">
      <c r="BC362" s="27"/>
    </row>
    <row r="363" spans="55:55" x14ac:dyDescent="0.35">
      <c r="BC363" s="27"/>
    </row>
    <row r="364" spans="55:55" x14ac:dyDescent="0.35">
      <c r="BC364" s="27"/>
    </row>
    <row r="365" spans="55:55" x14ac:dyDescent="0.35">
      <c r="BC365" s="27"/>
    </row>
    <row r="366" spans="55:55" x14ac:dyDescent="0.35">
      <c r="BC366" s="27"/>
    </row>
    <row r="367" spans="55:55" x14ac:dyDescent="0.35">
      <c r="BC367" s="27"/>
    </row>
    <row r="368" spans="55:55" x14ac:dyDescent="0.35">
      <c r="BC368" s="27"/>
    </row>
    <row r="369" spans="55:55" x14ac:dyDescent="0.35">
      <c r="BC369" s="27"/>
    </row>
  </sheetData>
  <autoFilter ref="K1:L2" xr:uid="{00000000-0001-0000-0200-000000000000}"/>
  <mergeCells count="51">
    <mergeCell ref="D39:D41"/>
    <mergeCell ref="D42:D47"/>
    <mergeCell ref="D48:D57"/>
    <mergeCell ref="D23:D26"/>
    <mergeCell ref="D27:D28"/>
    <mergeCell ref="D29:D31"/>
    <mergeCell ref="D32:D33"/>
    <mergeCell ref="D34:D36"/>
    <mergeCell ref="D86:D87"/>
    <mergeCell ref="D58:D65"/>
    <mergeCell ref="D66:D73"/>
    <mergeCell ref="D74:D75"/>
    <mergeCell ref="D76:D81"/>
    <mergeCell ref="D82:D85"/>
    <mergeCell ref="K1:K2"/>
    <mergeCell ref="L1:L2"/>
    <mergeCell ref="J1:J2"/>
    <mergeCell ref="H1:H2"/>
    <mergeCell ref="I1:I2"/>
    <mergeCell ref="A1:A2"/>
    <mergeCell ref="D1:D2"/>
    <mergeCell ref="E1:E2"/>
    <mergeCell ref="F1:F2"/>
    <mergeCell ref="G1:G2"/>
    <mergeCell ref="B1:B2"/>
    <mergeCell ref="C1:C2"/>
    <mergeCell ref="C79:C81"/>
    <mergeCell ref="C82:C83"/>
    <mergeCell ref="C84:C85"/>
    <mergeCell ref="C53:C57"/>
    <mergeCell ref="C58:C61"/>
    <mergeCell ref="C62:C65"/>
    <mergeCell ref="C66:C69"/>
    <mergeCell ref="C70:C73"/>
    <mergeCell ref="C76:C78"/>
    <mergeCell ref="C48:C52"/>
    <mergeCell ref="C45:C47"/>
    <mergeCell ref="C40:C41"/>
    <mergeCell ref="C35:C36"/>
    <mergeCell ref="D4:D12"/>
    <mergeCell ref="D13:D14"/>
    <mergeCell ref="D15:D17"/>
    <mergeCell ref="D19:D21"/>
    <mergeCell ref="C42:C44"/>
    <mergeCell ref="C4:C8"/>
    <mergeCell ref="C9:C12"/>
    <mergeCell ref="C30:C31"/>
    <mergeCell ref="C24:C26"/>
    <mergeCell ref="C20:C21"/>
    <mergeCell ref="C16:C17"/>
    <mergeCell ref="D37:D38"/>
  </mergeCells>
  <conditionalFormatting sqref="D13">
    <cfRule type="duplicateValues" dxfId="174" priority="1375"/>
    <cfRule type="duplicateValues" dxfId="173" priority="1376"/>
  </conditionalFormatting>
  <conditionalFormatting sqref="D15">
    <cfRule type="duplicateValues" dxfId="172" priority="1377"/>
    <cfRule type="duplicateValues" dxfId="171" priority="1378"/>
  </conditionalFormatting>
  <conditionalFormatting sqref="D18">
    <cfRule type="duplicateValues" dxfId="170" priority="1379"/>
    <cfRule type="duplicateValues" dxfId="169" priority="1380"/>
    <cfRule type="duplicateValues" dxfId="168" priority="1381"/>
    <cfRule type="duplicateValues" dxfId="167" priority="1382"/>
    <cfRule type="duplicateValues" dxfId="166" priority="1383"/>
  </conditionalFormatting>
  <conditionalFormatting sqref="D19">
    <cfRule type="duplicateValues" dxfId="165" priority="1384"/>
    <cfRule type="duplicateValues" dxfId="164" priority="1385"/>
    <cfRule type="duplicateValues" dxfId="163" priority="1386"/>
    <cfRule type="duplicateValues" dxfId="162" priority="1387"/>
    <cfRule type="duplicateValues" dxfId="161" priority="1388"/>
    <cfRule type="duplicateValues" dxfId="160" priority="1389"/>
  </conditionalFormatting>
  <conditionalFormatting sqref="D22">
    <cfRule type="duplicateValues" dxfId="159" priority="1390"/>
    <cfRule type="duplicateValues" dxfId="158" priority="1391"/>
    <cfRule type="duplicateValues" dxfId="157" priority="1392"/>
    <cfRule type="duplicateValues" dxfId="156" priority="1393"/>
    <cfRule type="duplicateValues" dxfId="155" priority="1394"/>
    <cfRule type="duplicateValues" dxfId="154" priority="1395"/>
  </conditionalFormatting>
  <conditionalFormatting sqref="D23">
    <cfRule type="duplicateValues" dxfId="153" priority="1396"/>
    <cfRule type="duplicateValues" dxfId="152" priority="1397"/>
    <cfRule type="duplicateValues" dxfId="151" priority="1398"/>
    <cfRule type="duplicateValues" dxfId="150" priority="1399"/>
    <cfRule type="duplicateValues" dxfId="149" priority="1400"/>
    <cfRule type="duplicateValues" dxfId="148" priority="1401"/>
  </conditionalFormatting>
  <conditionalFormatting sqref="D27">
    <cfRule type="duplicateValues" dxfId="147" priority="1402"/>
    <cfRule type="duplicateValues" dxfId="146" priority="1403"/>
    <cfRule type="duplicateValues" dxfId="145" priority="1404"/>
    <cfRule type="duplicateValues" dxfId="144" priority="1405"/>
    <cfRule type="duplicateValues" dxfId="143" priority="1406"/>
  </conditionalFormatting>
  <conditionalFormatting sqref="D29">
    <cfRule type="duplicateValues" dxfId="142" priority="1407"/>
    <cfRule type="duplicateValues" dxfId="141" priority="1408"/>
    <cfRule type="duplicateValues" dxfId="140" priority="1409"/>
    <cfRule type="duplicateValues" dxfId="139" priority="1410"/>
    <cfRule type="duplicateValues" dxfId="138" priority="1411"/>
    <cfRule type="duplicateValues" dxfId="137" priority="1412"/>
  </conditionalFormatting>
  <conditionalFormatting sqref="D32">
    <cfRule type="duplicateValues" dxfId="136" priority="1413"/>
    <cfRule type="duplicateValues" dxfId="135" priority="1414"/>
    <cfRule type="duplicateValues" dxfId="134" priority="1415"/>
    <cfRule type="duplicateValues" dxfId="133" priority="1416"/>
    <cfRule type="duplicateValues" dxfId="132" priority="1417"/>
    <cfRule type="duplicateValues" dxfId="131" priority="1418"/>
  </conditionalFormatting>
  <conditionalFormatting sqref="D34">
    <cfRule type="duplicateValues" dxfId="130" priority="1419"/>
    <cfRule type="duplicateValues" dxfId="129" priority="1420"/>
    <cfRule type="duplicateValues" dxfId="128" priority="1421"/>
    <cfRule type="duplicateValues" dxfId="127" priority="1422"/>
    <cfRule type="duplicateValues" dxfId="126" priority="1423"/>
    <cfRule type="duplicateValues" dxfId="125" priority="1424"/>
  </conditionalFormatting>
  <conditionalFormatting sqref="D37">
    <cfRule type="duplicateValues" dxfId="124" priority="1425"/>
    <cfRule type="duplicateValues" dxfId="123" priority="1426"/>
    <cfRule type="duplicateValues" dxfId="122" priority="1427"/>
    <cfRule type="duplicateValues" dxfId="121" priority="1428"/>
    <cfRule type="duplicateValues" dxfId="120" priority="1429"/>
    <cfRule type="duplicateValues" dxfId="119" priority="1430"/>
  </conditionalFormatting>
  <conditionalFormatting sqref="D39">
    <cfRule type="duplicateValues" dxfId="118" priority="1004"/>
    <cfRule type="duplicateValues" dxfId="117" priority="1005"/>
    <cfRule type="duplicateValues" dxfId="116" priority="1006"/>
    <cfRule type="duplicateValues" dxfId="115" priority="1007"/>
    <cfRule type="duplicateValues" dxfId="114" priority="1008"/>
    <cfRule type="duplicateValues" dxfId="113" priority="1009"/>
  </conditionalFormatting>
  <conditionalFormatting sqref="D48">
    <cfRule type="duplicateValues" dxfId="112" priority="1437"/>
    <cfRule type="duplicateValues" dxfId="111" priority="1438"/>
    <cfRule type="duplicateValues" dxfId="110" priority="1439"/>
    <cfRule type="duplicateValues" dxfId="109" priority="1440"/>
    <cfRule type="duplicateValues" dxfId="108" priority="1441"/>
    <cfRule type="duplicateValues" dxfId="107" priority="1442"/>
  </conditionalFormatting>
  <conditionalFormatting sqref="D58">
    <cfRule type="duplicateValues" dxfId="106" priority="1443"/>
    <cfRule type="duplicateValues" dxfId="105" priority="1444"/>
    <cfRule type="duplicateValues" dxfId="104" priority="1445"/>
    <cfRule type="duplicateValues" dxfId="103" priority="1446"/>
    <cfRule type="duplicateValues" dxfId="102" priority="1447"/>
    <cfRule type="duplicateValues" dxfId="101" priority="1448"/>
  </conditionalFormatting>
  <conditionalFormatting sqref="D66">
    <cfRule type="duplicateValues" dxfId="100" priority="1449"/>
    <cfRule type="duplicateValues" dxfId="99" priority="1450"/>
    <cfRule type="duplicateValues" dxfId="98" priority="1451"/>
    <cfRule type="duplicateValues" dxfId="97" priority="1452"/>
    <cfRule type="duplicateValues" dxfId="96" priority="1453"/>
    <cfRule type="duplicateValues" dxfId="95" priority="1454"/>
  </conditionalFormatting>
  <conditionalFormatting sqref="D74">
    <cfRule type="duplicateValues" dxfId="94" priority="1455"/>
    <cfRule type="duplicateValues" dxfId="93" priority="1456"/>
    <cfRule type="duplicateValues" dxfId="92" priority="1457"/>
    <cfRule type="duplicateValues" dxfId="91" priority="1458"/>
    <cfRule type="duplicateValues" dxfId="90" priority="1459"/>
    <cfRule type="duplicateValues" dxfId="89" priority="1460"/>
  </conditionalFormatting>
  <conditionalFormatting sqref="D76">
    <cfRule type="duplicateValues" dxfId="88" priority="1461"/>
    <cfRule type="duplicateValues" dxfId="87" priority="1462"/>
    <cfRule type="duplicateValues" dxfId="86" priority="1463"/>
    <cfRule type="duplicateValues" dxfId="85" priority="1464"/>
    <cfRule type="duplicateValues" dxfId="84" priority="1465"/>
    <cfRule type="duplicateValues" dxfId="83" priority="1466"/>
  </conditionalFormatting>
  <conditionalFormatting sqref="D82">
    <cfRule type="duplicateValues" dxfId="82" priority="1467"/>
    <cfRule type="duplicateValues" dxfId="81" priority="1468"/>
    <cfRule type="duplicateValues" dxfId="80" priority="1469"/>
    <cfRule type="duplicateValues" dxfId="79" priority="1470"/>
    <cfRule type="duplicateValues" dxfId="78" priority="1471"/>
    <cfRule type="duplicateValues" dxfId="77" priority="1472"/>
  </conditionalFormatting>
  <conditionalFormatting sqref="D86">
    <cfRule type="duplicateValues" dxfId="76" priority="1473"/>
    <cfRule type="duplicateValues" dxfId="75" priority="1474"/>
    <cfRule type="duplicateValues" dxfId="74" priority="1475"/>
    <cfRule type="duplicateValues" dxfId="73" priority="1476"/>
    <cfRule type="duplicateValues" dxfId="72" priority="1477"/>
    <cfRule type="duplicateValues" dxfId="71" priority="1478"/>
  </conditionalFormatting>
  <conditionalFormatting sqref="D88">
    <cfRule type="duplicateValues" dxfId="70" priority="1479"/>
    <cfRule type="duplicateValues" dxfId="69" priority="1480"/>
    <cfRule type="duplicateValues" dxfId="68" priority="1481"/>
    <cfRule type="duplicateValues" dxfId="67" priority="1482"/>
    <cfRule type="duplicateValues" dxfId="66" priority="1483"/>
    <cfRule type="duplicateValues" dxfId="65" priority="1484"/>
  </conditionalFormatting>
  <conditionalFormatting sqref="D89">
    <cfRule type="duplicateValues" dxfId="64" priority="1485"/>
    <cfRule type="duplicateValues" dxfId="63" priority="1486"/>
    <cfRule type="duplicateValues" dxfId="62" priority="1487"/>
    <cfRule type="duplicateValues" dxfId="61" priority="1488"/>
    <cfRule type="duplicateValues" dxfId="60" priority="1489"/>
    <cfRule type="duplicateValues" dxfId="59" priority="1490"/>
  </conditionalFormatting>
  <conditionalFormatting sqref="E1">
    <cfRule type="duplicateValues" dxfId="58" priority="1493"/>
    <cfRule type="duplicateValues" dxfId="57" priority="1494"/>
  </conditionalFormatting>
  <conditionalFormatting sqref="F1">
    <cfRule type="duplicateValues" dxfId="56" priority="202"/>
    <cfRule type="duplicateValues" dxfId="55" priority="203"/>
  </conditionalFormatting>
  <conditionalFormatting sqref="G1:H1">
    <cfRule type="duplicateValues" dxfId="54" priority="204"/>
    <cfRule type="duplicateValues" dxfId="53" priority="205"/>
  </conditionalFormatting>
  <conditionalFormatting sqref="I1:J1">
    <cfRule type="duplicateValues" dxfId="52" priority="200"/>
    <cfRule type="duplicateValues" dxfId="51" priority="201"/>
  </conditionalFormatting>
  <conditionalFormatting sqref="K1:L1">
    <cfRule type="duplicateValues" dxfId="50" priority="16"/>
    <cfRule type="duplicateValues" dxfId="49" priority="17"/>
  </conditionalFormatting>
  <conditionalFormatting sqref="F89">
    <cfRule type="duplicateValues" dxfId="48" priority="1"/>
    <cfRule type="duplicateValues" dxfId="47" priority="2"/>
    <cfRule type="duplicateValues" dxfId="46" priority="3"/>
    <cfRule type="duplicateValues" dxfId="45" priority="4"/>
    <cfRule type="duplicateValues" dxfId="44" priority="5"/>
  </conditionalFormatting>
  <pageMargins left="0.7" right="0.7" top="0.75" bottom="0.75" header="0.3" footer="0.3"/>
  <pageSetup paperSize="9" scale="29" orientation="portrait" r:id="rId1"/>
  <colBreaks count="1" manualBreakCount="1">
    <brk id="12" max="1048575" man="1"/>
  </colBreaks>
  <ignoredErrors>
    <ignoredError sqref="C9 C14 C16 C20 C24 C28 C30 C33 C35 C38 C40 C45 C53 C62 C70 C75 C79 C84 C87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765CCC-8AA0-4773-B998-278F9E9E0A1A}">
          <x14:formula1>
            <xm:f>'MONTHLY ATTENDANCE '!$G$5:$AK$5</xm:f>
          </x14:formula1>
          <xm:sqref>J3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F0E3D-F318-4BC3-8DAA-EAC7D8589C7B}">
  <sheetPr codeName="Sheet2"/>
  <dimension ref="A1:BD121"/>
  <sheetViews>
    <sheetView zoomScale="53" zoomScaleNormal="53" workbookViewId="0">
      <selection activeCell="AJ120" sqref="AJ120"/>
    </sheetView>
  </sheetViews>
  <sheetFormatPr defaultRowHeight="14.5" x14ac:dyDescent="0.35"/>
  <cols>
    <col min="1" max="1" width="12.6328125" bestFit="1" customWidth="1"/>
    <col min="2" max="2" width="13.54296875" bestFit="1" customWidth="1"/>
    <col min="3" max="3" width="13.81640625" bestFit="1" customWidth="1"/>
    <col min="4" max="4" width="19.08984375" bestFit="1" customWidth="1"/>
    <col min="5" max="5" width="13.08984375" bestFit="1" customWidth="1"/>
    <col min="6" max="6" width="14" bestFit="1" customWidth="1"/>
    <col min="7" max="34" width="10.7265625" bestFit="1" customWidth="1"/>
    <col min="56" max="56" width="19.36328125" bestFit="1" customWidth="1"/>
  </cols>
  <sheetData>
    <row r="1" spans="1:56" x14ac:dyDescent="0.35">
      <c r="A1" s="127" t="s">
        <v>135</v>
      </c>
      <c r="B1" s="127" t="s">
        <v>38</v>
      </c>
      <c r="C1" s="129" t="s">
        <v>0</v>
      </c>
      <c r="D1" s="129" t="s">
        <v>39</v>
      </c>
      <c r="E1" s="129" t="s">
        <v>40</v>
      </c>
      <c r="F1" s="129" t="s">
        <v>41</v>
      </c>
      <c r="G1" s="142" t="s">
        <v>165</v>
      </c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</row>
    <row r="2" spans="1:56" ht="15" thickBot="1" x14ac:dyDescent="0.4">
      <c r="A2" s="144"/>
      <c r="B2" s="128"/>
      <c r="C2" s="130"/>
      <c r="D2" s="130"/>
      <c r="E2" s="130"/>
      <c r="F2" s="130"/>
      <c r="G2" s="142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</row>
    <row r="3" spans="1:56" ht="26" x14ac:dyDescent="0.35">
      <c r="A3" s="140" t="s">
        <v>136</v>
      </c>
      <c r="B3" s="54" t="s">
        <v>162</v>
      </c>
      <c r="C3" s="56" t="s">
        <v>163</v>
      </c>
      <c r="D3" s="55" t="s">
        <v>164</v>
      </c>
      <c r="E3" s="138"/>
      <c r="F3" s="139"/>
      <c r="G3" s="53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52"/>
      <c r="AI3" s="51">
        <f>SUBTOTAL(9,AI5:AI100)</f>
        <v>7</v>
      </c>
      <c r="AJ3" s="51">
        <f t="shared" ref="AJ3:AK3" si="0">SUBTOTAL(9,AJ5:AJ100)</f>
        <v>3</v>
      </c>
      <c r="AK3" s="51">
        <f t="shared" si="0"/>
        <v>2</v>
      </c>
    </row>
    <row r="4" spans="1:56" ht="33.5" customHeight="1" x14ac:dyDescent="0.35">
      <c r="A4" s="141"/>
      <c r="B4" s="110">
        <f>SUM(AI3) / (SUM(AI3)+SUM(AJ3)+SUM(AK3))</f>
        <v>0.58333333333333337</v>
      </c>
      <c r="C4" s="110">
        <f>SUM(AJ3) / (SUM(AJ3)+SUM(AK3)+SUM(AI3))</f>
        <v>0.25</v>
      </c>
      <c r="D4" s="110">
        <f>SUM(AK3) / (SUM(AK3)+SUM(AI3)+SUM(AJ3))</f>
        <v>0.16666666666666666</v>
      </c>
      <c r="E4" s="138"/>
      <c r="F4" s="139"/>
      <c r="G4" s="111">
        <v>46054</v>
      </c>
      <c r="H4" s="111">
        <v>46055</v>
      </c>
      <c r="I4" s="111">
        <v>46056</v>
      </c>
      <c r="J4" s="111">
        <v>46057</v>
      </c>
      <c r="K4" s="111">
        <v>46058</v>
      </c>
      <c r="L4" s="111">
        <v>46059</v>
      </c>
      <c r="M4" s="111">
        <v>46060</v>
      </c>
      <c r="N4" s="111">
        <v>46061</v>
      </c>
      <c r="O4" s="111">
        <v>46062</v>
      </c>
      <c r="P4" s="111">
        <v>46063</v>
      </c>
      <c r="Q4" s="111">
        <v>46064</v>
      </c>
      <c r="R4" s="111">
        <v>46065</v>
      </c>
      <c r="S4" s="111">
        <v>46066</v>
      </c>
      <c r="T4" s="111">
        <v>46067</v>
      </c>
      <c r="U4" s="111">
        <v>46068</v>
      </c>
      <c r="V4" s="111">
        <v>46069</v>
      </c>
      <c r="W4" s="111">
        <v>46070</v>
      </c>
      <c r="X4" s="111">
        <v>46071</v>
      </c>
      <c r="Y4" s="111">
        <v>46072</v>
      </c>
      <c r="Z4" s="111">
        <v>46073</v>
      </c>
      <c r="AA4" s="111">
        <v>46074</v>
      </c>
      <c r="AB4" s="111">
        <v>46075</v>
      </c>
      <c r="AC4" s="111">
        <v>46076</v>
      </c>
      <c r="AD4" s="111">
        <v>46077</v>
      </c>
      <c r="AE4" s="111">
        <v>46078</v>
      </c>
      <c r="AF4" s="111">
        <v>46079</v>
      </c>
      <c r="AG4" s="111">
        <v>46080</v>
      </c>
      <c r="AH4" s="112">
        <v>46081</v>
      </c>
      <c r="AI4" s="113" t="s">
        <v>161</v>
      </c>
      <c r="AJ4" s="113" t="s">
        <v>159</v>
      </c>
      <c r="AK4" s="113" t="s">
        <v>160</v>
      </c>
    </row>
    <row r="5" spans="1:56" ht="17.5" customHeight="1" x14ac:dyDescent="0.35">
      <c r="A5" s="5">
        <v>1</v>
      </c>
      <c r="B5" s="17" t="s">
        <v>167</v>
      </c>
      <c r="C5" s="17" t="s">
        <v>168</v>
      </c>
      <c r="D5" s="97" t="s">
        <v>42</v>
      </c>
      <c r="E5" s="97" t="s">
        <v>43</v>
      </c>
      <c r="F5" s="104" t="s">
        <v>169</v>
      </c>
      <c r="G5" s="50" t="s">
        <v>158</v>
      </c>
      <c r="H5" s="50" t="s">
        <v>158</v>
      </c>
      <c r="I5" s="50" t="s">
        <v>136</v>
      </c>
      <c r="J5" s="50"/>
      <c r="K5" s="50"/>
      <c r="L5" s="50"/>
      <c r="M5" s="50"/>
      <c r="N5" s="50"/>
      <c r="O5" s="50" t="s">
        <v>136</v>
      </c>
      <c r="P5" s="50"/>
      <c r="Q5" s="50"/>
      <c r="R5" s="50"/>
      <c r="S5" s="50" t="s">
        <v>136</v>
      </c>
      <c r="T5" s="50" t="s">
        <v>136</v>
      </c>
      <c r="U5" s="50"/>
      <c r="V5" s="50"/>
      <c r="W5" s="50"/>
      <c r="X5" s="50"/>
      <c r="Y5" s="50"/>
      <c r="Z5" s="50"/>
      <c r="AA5" s="50"/>
      <c r="AB5" s="50"/>
      <c r="AC5" s="50"/>
      <c r="AD5" s="50" t="s">
        <v>136</v>
      </c>
      <c r="AE5" s="50"/>
      <c r="AF5" s="50" t="s">
        <v>136</v>
      </c>
      <c r="AG5" s="50"/>
      <c r="AH5" s="50" t="s">
        <v>136</v>
      </c>
      <c r="AI5" s="4">
        <f>COUNTIF(G5:AH5,"SL")</f>
        <v>2</v>
      </c>
      <c r="AJ5" s="4">
        <f>COUNTIF(G5:AH5,"WL")</f>
        <v>0</v>
      </c>
      <c r="AK5" s="4">
        <f>COUNTIF(G5:AH5,"Absent")</f>
        <v>0</v>
      </c>
    </row>
    <row r="6" spans="1:56" x14ac:dyDescent="0.35">
      <c r="A6" s="5">
        <v>2</v>
      </c>
      <c r="B6" s="17" t="s">
        <v>170</v>
      </c>
      <c r="C6" s="17" t="s">
        <v>171</v>
      </c>
      <c r="D6" s="97" t="s">
        <v>42</v>
      </c>
      <c r="E6" s="97" t="s">
        <v>45</v>
      </c>
      <c r="F6" s="104" t="s">
        <v>169</v>
      </c>
      <c r="G6" s="48" t="s">
        <v>136</v>
      </c>
      <c r="H6" s="39" t="s">
        <v>136</v>
      </c>
      <c r="I6" s="39" t="s">
        <v>136</v>
      </c>
      <c r="J6" s="39" t="s">
        <v>136</v>
      </c>
      <c r="K6" s="39" t="s">
        <v>136</v>
      </c>
      <c r="L6" s="39" t="s">
        <v>159</v>
      </c>
      <c r="M6" s="39" t="s">
        <v>136</v>
      </c>
      <c r="N6" s="39" t="s">
        <v>136</v>
      </c>
      <c r="O6" s="39" t="s">
        <v>136</v>
      </c>
      <c r="P6" s="39" t="s">
        <v>136</v>
      </c>
      <c r="Q6" s="39" t="s">
        <v>136</v>
      </c>
      <c r="R6" s="40" t="s">
        <v>136</v>
      </c>
      <c r="S6" s="39" t="s">
        <v>136</v>
      </c>
      <c r="T6" s="39" t="s">
        <v>136</v>
      </c>
      <c r="U6" s="39" t="s">
        <v>136</v>
      </c>
      <c r="V6" s="39" t="s">
        <v>136</v>
      </c>
      <c r="W6" s="39" t="s">
        <v>136</v>
      </c>
      <c r="X6" s="39" t="s">
        <v>136</v>
      </c>
      <c r="Y6" s="39" t="s">
        <v>136</v>
      </c>
      <c r="Z6" s="39" t="s">
        <v>136</v>
      </c>
      <c r="AA6" s="39" t="s">
        <v>136</v>
      </c>
      <c r="AB6" s="39" t="s">
        <v>136</v>
      </c>
      <c r="AC6" s="39" t="s">
        <v>136</v>
      </c>
      <c r="AD6" s="39" t="s">
        <v>136</v>
      </c>
      <c r="AE6" s="39" t="s">
        <v>136</v>
      </c>
      <c r="AF6" s="39" t="s">
        <v>136</v>
      </c>
      <c r="AG6" s="39" t="s">
        <v>136</v>
      </c>
      <c r="AH6" s="39" t="s">
        <v>136</v>
      </c>
      <c r="AI6" s="4">
        <f>COUNTIF(G6:AH6,"SL")</f>
        <v>0</v>
      </c>
      <c r="AJ6" s="4">
        <f>COUNTIF(G6:AH6,"WL")</f>
        <v>1</v>
      </c>
      <c r="AK6" s="4">
        <f>COUNTIF(G6:AH6,"Absent")</f>
        <v>0</v>
      </c>
      <c r="BD6" s="4" t="s">
        <v>136</v>
      </c>
    </row>
    <row r="7" spans="1:56" x14ac:dyDescent="0.35">
      <c r="A7" s="5">
        <v>3</v>
      </c>
      <c r="B7" s="19" t="s">
        <v>46</v>
      </c>
      <c r="C7" s="18" t="s">
        <v>47</v>
      </c>
      <c r="D7" s="97" t="s">
        <v>42</v>
      </c>
      <c r="E7" s="97" t="s">
        <v>45</v>
      </c>
      <c r="F7" s="104" t="s">
        <v>48</v>
      </c>
      <c r="G7" s="48"/>
      <c r="H7" s="39"/>
      <c r="I7" s="39"/>
      <c r="J7" s="39"/>
      <c r="K7" s="39"/>
      <c r="L7" s="39"/>
      <c r="M7" s="39" t="s">
        <v>159</v>
      </c>
      <c r="N7" s="39"/>
      <c r="O7" s="39"/>
      <c r="P7" s="39"/>
      <c r="Q7" s="39"/>
      <c r="R7" s="40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4">
        <f t="shared" ref="AI7:AI70" si="1">COUNTIF(G7:AH7,"SL")</f>
        <v>0</v>
      </c>
      <c r="AJ7" s="4">
        <f t="shared" ref="AJ7:AJ70" si="2">COUNTIF(G7:AH7,"WL")</f>
        <v>1</v>
      </c>
      <c r="AK7" s="4">
        <f t="shared" ref="AK7:AK70" si="3">COUNTIF(G7:AH7,"Absent")</f>
        <v>0</v>
      </c>
      <c r="BD7" s="4" t="s">
        <v>158</v>
      </c>
    </row>
    <row r="8" spans="1:56" x14ac:dyDescent="0.35">
      <c r="A8" s="5">
        <v>4</v>
      </c>
      <c r="B8" s="19" t="s">
        <v>49</v>
      </c>
      <c r="C8" s="18" t="s">
        <v>47</v>
      </c>
      <c r="D8" s="97" t="s">
        <v>42</v>
      </c>
      <c r="E8" s="97" t="s">
        <v>45</v>
      </c>
      <c r="F8" s="104" t="s">
        <v>48</v>
      </c>
      <c r="G8" s="48"/>
      <c r="H8" s="39"/>
      <c r="I8" s="39"/>
      <c r="J8" s="39"/>
      <c r="K8" s="39"/>
      <c r="L8" s="41"/>
      <c r="M8" s="41"/>
      <c r="N8" s="39"/>
      <c r="O8" s="39"/>
      <c r="P8" s="39"/>
      <c r="Q8" s="39"/>
      <c r="R8" s="40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4">
        <f t="shared" si="1"/>
        <v>0</v>
      </c>
      <c r="AJ8" s="4">
        <f t="shared" si="2"/>
        <v>0</v>
      </c>
      <c r="AK8" s="4">
        <f t="shared" si="3"/>
        <v>0</v>
      </c>
      <c r="BD8" s="4" t="s">
        <v>159</v>
      </c>
    </row>
    <row r="9" spans="1:56" x14ac:dyDescent="0.35">
      <c r="A9" s="5">
        <v>5</v>
      </c>
      <c r="B9" s="18" t="s">
        <v>50</v>
      </c>
      <c r="C9" s="18" t="s">
        <v>47</v>
      </c>
      <c r="D9" s="97" t="s">
        <v>42</v>
      </c>
      <c r="E9" s="97" t="s">
        <v>45</v>
      </c>
      <c r="F9" s="104" t="s">
        <v>48</v>
      </c>
      <c r="G9" s="48" t="s">
        <v>158</v>
      </c>
      <c r="H9" s="39" t="s">
        <v>136</v>
      </c>
      <c r="I9" s="39" t="s">
        <v>158</v>
      </c>
      <c r="J9" s="39"/>
      <c r="K9" s="39" t="s">
        <v>160</v>
      </c>
      <c r="L9" s="40"/>
      <c r="M9" s="41"/>
      <c r="N9" s="39"/>
      <c r="O9" s="39"/>
      <c r="P9" s="39"/>
      <c r="Q9" s="39"/>
      <c r="R9" s="40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4">
        <f t="shared" si="1"/>
        <v>2</v>
      </c>
      <c r="AJ9" s="4">
        <f t="shared" si="2"/>
        <v>0</v>
      </c>
      <c r="AK9" s="4">
        <f t="shared" si="3"/>
        <v>1</v>
      </c>
      <c r="BD9" s="4" t="s">
        <v>160</v>
      </c>
    </row>
    <row r="10" spans="1:56" x14ac:dyDescent="0.35">
      <c r="A10" s="5">
        <v>6</v>
      </c>
      <c r="B10" s="19" t="s">
        <v>51</v>
      </c>
      <c r="C10" s="18" t="s">
        <v>47</v>
      </c>
      <c r="D10" s="97" t="s">
        <v>42</v>
      </c>
      <c r="E10" s="97" t="s">
        <v>45</v>
      </c>
      <c r="F10" s="104" t="s">
        <v>48</v>
      </c>
      <c r="G10" s="48"/>
      <c r="H10" s="39"/>
      <c r="I10" s="39"/>
      <c r="J10" s="39"/>
      <c r="K10" s="39"/>
      <c r="L10" s="40"/>
      <c r="M10" s="41"/>
      <c r="N10" s="39"/>
      <c r="O10" s="39"/>
      <c r="P10" s="39"/>
      <c r="Q10" s="39"/>
      <c r="R10" s="40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4">
        <f t="shared" si="1"/>
        <v>0</v>
      </c>
      <c r="AJ10" s="4">
        <f t="shared" si="2"/>
        <v>0</v>
      </c>
      <c r="AK10" s="4">
        <f t="shared" si="3"/>
        <v>0</v>
      </c>
    </row>
    <row r="11" spans="1:56" x14ac:dyDescent="0.35">
      <c r="A11" s="5">
        <v>7</v>
      </c>
      <c r="B11" s="18" t="s">
        <v>52</v>
      </c>
      <c r="C11" s="18" t="s">
        <v>47</v>
      </c>
      <c r="D11" s="97" t="s">
        <v>53</v>
      </c>
      <c r="E11" s="97" t="s">
        <v>45</v>
      </c>
      <c r="F11" s="104" t="s">
        <v>48</v>
      </c>
      <c r="G11" s="48"/>
      <c r="H11" s="39"/>
      <c r="I11" s="39"/>
      <c r="J11" s="39"/>
      <c r="K11" s="39"/>
      <c r="L11" s="40"/>
      <c r="M11" s="41"/>
      <c r="N11" s="39"/>
      <c r="O11" s="39"/>
      <c r="P11" s="39"/>
      <c r="Q11" s="39"/>
      <c r="R11" s="40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4">
        <f t="shared" si="1"/>
        <v>0</v>
      </c>
      <c r="AJ11" s="4">
        <f t="shared" si="2"/>
        <v>0</v>
      </c>
      <c r="AK11" s="4">
        <f t="shared" si="3"/>
        <v>0</v>
      </c>
    </row>
    <row r="12" spans="1:56" x14ac:dyDescent="0.35">
      <c r="A12" s="5">
        <v>8</v>
      </c>
      <c r="B12" s="18" t="s">
        <v>26</v>
      </c>
      <c r="C12" s="18" t="s">
        <v>47</v>
      </c>
      <c r="D12" s="97" t="s">
        <v>53</v>
      </c>
      <c r="E12" s="97" t="s">
        <v>45</v>
      </c>
      <c r="F12" s="104" t="s">
        <v>48</v>
      </c>
      <c r="G12" s="48"/>
      <c r="H12" s="39"/>
      <c r="I12" s="39"/>
      <c r="J12" s="39" t="s">
        <v>158</v>
      </c>
      <c r="K12" s="39"/>
      <c r="L12" s="40"/>
      <c r="M12" s="41"/>
      <c r="N12" s="39" t="s">
        <v>158</v>
      </c>
      <c r="O12" s="39"/>
      <c r="P12" s="39"/>
      <c r="Q12" s="39"/>
      <c r="R12" s="40"/>
      <c r="S12" s="39" t="s">
        <v>160</v>
      </c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4">
        <f t="shared" si="1"/>
        <v>2</v>
      </c>
      <c r="AJ12" s="4">
        <f t="shared" si="2"/>
        <v>0</v>
      </c>
      <c r="AK12" s="4">
        <f t="shared" si="3"/>
        <v>1</v>
      </c>
    </row>
    <row r="13" spans="1:56" x14ac:dyDescent="0.35">
      <c r="A13" s="5">
        <v>9</v>
      </c>
      <c r="B13" s="18" t="s">
        <v>54</v>
      </c>
      <c r="C13" s="18" t="s">
        <v>47</v>
      </c>
      <c r="D13" s="97" t="s">
        <v>53</v>
      </c>
      <c r="E13" s="97" t="s">
        <v>45</v>
      </c>
      <c r="F13" s="104" t="s">
        <v>48</v>
      </c>
      <c r="G13" s="48"/>
      <c r="H13" s="39"/>
      <c r="I13" s="39"/>
      <c r="J13" s="39"/>
      <c r="K13" s="39"/>
      <c r="L13" s="40"/>
      <c r="M13" s="41"/>
      <c r="N13" s="39"/>
      <c r="O13" s="39"/>
      <c r="P13" s="39"/>
      <c r="Q13" s="39"/>
      <c r="R13" s="40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4">
        <f t="shared" si="1"/>
        <v>0</v>
      </c>
      <c r="AJ13" s="4">
        <f t="shared" si="2"/>
        <v>0</v>
      </c>
      <c r="AK13" s="4">
        <f t="shared" si="3"/>
        <v>0</v>
      </c>
    </row>
    <row r="14" spans="1:56" x14ac:dyDescent="0.35">
      <c r="A14" s="5">
        <v>10</v>
      </c>
      <c r="B14" s="18" t="s">
        <v>172</v>
      </c>
      <c r="C14" s="18" t="s">
        <v>47</v>
      </c>
      <c r="D14" s="97" t="s">
        <v>53</v>
      </c>
      <c r="E14" s="97" t="s">
        <v>45</v>
      </c>
      <c r="F14" s="104" t="s">
        <v>48</v>
      </c>
      <c r="G14" s="48"/>
      <c r="H14" s="39"/>
      <c r="I14" s="39"/>
      <c r="J14" s="39"/>
      <c r="K14" s="39"/>
      <c r="L14" s="42"/>
      <c r="M14" s="41"/>
      <c r="N14" s="39" t="s">
        <v>159</v>
      </c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4">
        <f t="shared" si="1"/>
        <v>0</v>
      </c>
      <c r="AJ14" s="4">
        <f t="shared" si="2"/>
        <v>1</v>
      </c>
      <c r="AK14" s="4">
        <f t="shared" si="3"/>
        <v>0</v>
      </c>
    </row>
    <row r="15" spans="1:56" x14ac:dyDescent="0.35">
      <c r="A15" s="5">
        <v>11</v>
      </c>
      <c r="B15" s="18" t="s">
        <v>173</v>
      </c>
      <c r="C15" s="18" t="s">
        <v>47</v>
      </c>
      <c r="D15" s="97" t="s">
        <v>53</v>
      </c>
      <c r="E15" s="97" t="s">
        <v>45</v>
      </c>
      <c r="F15" s="104" t="s">
        <v>48</v>
      </c>
      <c r="G15" s="48"/>
      <c r="H15" s="39"/>
      <c r="I15" s="39"/>
      <c r="J15" s="39"/>
      <c r="K15" s="39"/>
      <c r="L15" s="43"/>
      <c r="M15" s="41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4">
        <f t="shared" si="1"/>
        <v>0</v>
      </c>
      <c r="AJ15" s="4">
        <f t="shared" si="2"/>
        <v>0</v>
      </c>
      <c r="AK15" s="4">
        <f t="shared" si="3"/>
        <v>0</v>
      </c>
    </row>
    <row r="16" spans="1:56" x14ac:dyDescent="0.35">
      <c r="A16" s="5">
        <v>12</v>
      </c>
      <c r="B16" s="19" t="s">
        <v>33</v>
      </c>
      <c r="C16" s="18" t="s">
        <v>47</v>
      </c>
      <c r="D16" s="97" t="s">
        <v>53</v>
      </c>
      <c r="E16" s="97" t="s">
        <v>45</v>
      </c>
      <c r="F16" s="104" t="s">
        <v>48</v>
      </c>
      <c r="G16" s="48"/>
      <c r="H16" s="39" t="s">
        <v>158</v>
      </c>
      <c r="I16" s="39"/>
      <c r="J16" s="39"/>
      <c r="K16" s="39"/>
      <c r="L16" s="43"/>
      <c r="M16" s="41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4">
        <f t="shared" si="1"/>
        <v>1</v>
      </c>
      <c r="AJ16" s="4">
        <f t="shared" si="2"/>
        <v>0</v>
      </c>
      <c r="AK16" s="4">
        <f t="shared" si="3"/>
        <v>0</v>
      </c>
    </row>
    <row r="17" spans="1:37" x14ac:dyDescent="0.35">
      <c r="A17" s="5">
        <v>13</v>
      </c>
      <c r="B17" s="18" t="s">
        <v>56</v>
      </c>
      <c r="C17" s="18" t="s">
        <v>57</v>
      </c>
      <c r="D17" s="97" t="s">
        <v>42</v>
      </c>
      <c r="E17" s="97" t="s">
        <v>45</v>
      </c>
      <c r="F17" s="104" t="s">
        <v>48</v>
      </c>
      <c r="G17" s="114"/>
      <c r="H17" s="39"/>
      <c r="I17" s="39"/>
      <c r="J17" s="39"/>
      <c r="K17" s="39"/>
      <c r="L17" s="43"/>
      <c r="M17" s="41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 t="s">
        <v>136</v>
      </c>
      <c r="AA17" s="39"/>
      <c r="AB17" s="39"/>
      <c r="AC17" s="39"/>
      <c r="AD17" s="39"/>
      <c r="AE17" s="39"/>
      <c r="AF17" s="39"/>
      <c r="AG17" s="39"/>
      <c r="AH17" s="39"/>
      <c r="AI17" s="4">
        <f t="shared" si="1"/>
        <v>0</v>
      </c>
      <c r="AJ17" s="4">
        <f t="shared" si="2"/>
        <v>0</v>
      </c>
      <c r="AK17" s="4">
        <f t="shared" si="3"/>
        <v>0</v>
      </c>
    </row>
    <row r="18" spans="1:37" x14ac:dyDescent="0.35">
      <c r="A18" s="5">
        <v>14</v>
      </c>
      <c r="B18" s="18" t="s">
        <v>174</v>
      </c>
      <c r="C18" s="18" t="s">
        <v>57</v>
      </c>
      <c r="D18" s="97" t="s">
        <v>53</v>
      </c>
      <c r="E18" s="97" t="s">
        <v>45</v>
      </c>
      <c r="F18" s="104" t="s">
        <v>48</v>
      </c>
      <c r="G18" s="114"/>
      <c r="H18" s="39"/>
      <c r="I18" s="39"/>
      <c r="J18" s="39"/>
      <c r="K18" s="39"/>
      <c r="L18" s="43"/>
      <c r="M18" s="41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4">
        <f t="shared" si="1"/>
        <v>0</v>
      </c>
      <c r="AJ18" s="4">
        <f t="shared" si="2"/>
        <v>0</v>
      </c>
      <c r="AK18" s="4">
        <f t="shared" si="3"/>
        <v>0</v>
      </c>
    </row>
    <row r="19" spans="1:37" x14ac:dyDescent="0.35">
      <c r="A19" s="5">
        <v>15</v>
      </c>
      <c r="B19" s="17" t="s">
        <v>58</v>
      </c>
      <c r="C19" s="18" t="s">
        <v>57</v>
      </c>
      <c r="D19" s="97" t="s">
        <v>53</v>
      </c>
      <c r="E19" s="97" t="s">
        <v>45</v>
      </c>
      <c r="F19" s="104" t="s">
        <v>48</v>
      </c>
      <c r="G19" s="48"/>
      <c r="H19" s="39"/>
      <c r="I19" s="39"/>
      <c r="J19" s="39"/>
      <c r="K19" s="39"/>
      <c r="L19" s="43"/>
      <c r="M19" s="41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4">
        <f t="shared" si="1"/>
        <v>0</v>
      </c>
      <c r="AJ19" s="4">
        <f t="shared" si="2"/>
        <v>0</v>
      </c>
      <c r="AK19" s="4">
        <f t="shared" si="3"/>
        <v>0</v>
      </c>
    </row>
    <row r="20" spans="1:37" x14ac:dyDescent="0.35">
      <c r="A20" s="5">
        <v>16</v>
      </c>
      <c r="B20" s="18" t="s">
        <v>59</v>
      </c>
      <c r="C20" s="18" t="s">
        <v>175</v>
      </c>
      <c r="D20" s="97" t="s">
        <v>53</v>
      </c>
      <c r="E20" s="97" t="s">
        <v>45</v>
      </c>
      <c r="F20" s="104" t="s">
        <v>48</v>
      </c>
      <c r="G20" s="48"/>
      <c r="H20" s="39"/>
      <c r="I20" s="39"/>
      <c r="J20" s="39"/>
      <c r="K20" s="39"/>
      <c r="L20" s="43"/>
      <c r="M20" s="41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4">
        <f t="shared" si="1"/>
        <v>0</v>
      </c>
      <c r="AJ20" s="4">
        <f t="shared" si="2"/>
        <v>0</v>
      </c>
      <c r="AK20" s="4">
        <f t="shared" si="3"/>
        <v>0</v>
      </c>
    </row>
    <row r="21" spans="1:37" x14ac:dyDescent="0.35">
      <c r="A21" s="5">
        <v>17</v>
      </c>
      <c r="B21" s="19" t="s">
        <v>60</v>
      </c>
      <c r="C21" s="19" t="s">
        <v>175</v>
      </c>
      <c r="D21" s="109" t="s">
        <v>42</v>
      </c>
      <c r="E21" s="109" t="s">
        <v>45</v>
      </c>
      <c r="F21" s="109" t="s">
        <v>48</v>
      </c>
      <c r="G21" s="48"/>
      <c r="H21" s="39"/>
      <c r="I21" s="39"/>
      <c r="J21" s="39"/>
      <c r="K21" s="39"/>
      <c r="L21" s="43"/>
      <c r="M21" s="41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4">
        <f t="shared" si="1"/>
        <v>0</v>
      </c>
      <c r="AJ21" s="4">
        <f t="shared" si="2"/>
        <v>0</v>
      </c>
      <c r="AK21" s="4">
        <f t="shared" si="3"/>
        <v>0</v>
      </c>
    </row>
    <row r="22" spans="1:37" x14ac:dyDescent="0.35">
      <c r="A22" s="5">
        <v>18</v>
      </c>
      <c r="B22" s="19" t="s">
        <v>61</v>
      </c>
      <c r="C22" s="19" t="s">
        <v>175</v>
      </c>
      <c r="D22" s="109" t="s">
        <v>42</v>
      </c>
      <c r="E22" s="109" t="s">
        <v>45</v>
      </c>
      <c r="F22" s="109" t="s">
        <v>48</v>
      </c>
      <c r="G22" s="48"/>
      <c r="H22" s="39"/>
      <c r="I22" s="39"/>
      <c r="J22" s="39"/>
      <c r="K22" s="39"/>
      <c r="L22" s="43"/>
      <c r="M22" s="41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4">
        <f t="shared" si="1"/>
        <v>0</v>
      </c>
      <c r="AJ22" s="4">
        <f t="shared" si="2"/>
        <v>0</v>
      </c>
      <c r="AK22" s="4">
        <f t="shared" si="3"/>
        <v>0</v>
      </c>
    </row>
    <row r="23" spans="1:37" x14ac:dyDescent="0.35">
      <c r="A23" s="5">
        <v>19</v>
      </c>
      <c r="B23" s="17" t="s">
        <v>63</v>
      </c>
      <c r="C23" s="18" t="s">
        <v>62</v>
      </c>
      <c r="D23" s="97" t="s">
        <v>42</v>
      </c>
      <c r="E23" s="97" t="s">
        <v>45</v>
      </c>
      <c r="F23" s="104" t="s">
        <v>48</v>
      </c>
      <c r="G23" s="48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4">
        <f t="shared" si="1"/>
        <v>0</v>
      </c>
      <c r="AJ23" s="4">
        <f t="shared" si="2"/>
        <v>0</v>
      </c>
      <c r="AK23" s="4">
        <f t="shared" si="3"/>
        <v>0</v>
      </c>
    </row>
    <row r="24" spans="1:37" x14ac:dyDescent="0.35">
      <c r="A24" s="5">
        <v>20</v>
      </c>
      <c r="B24" s="18" t="s">
        <v>17</v>
      </c>
      <c r="C24" s="18" t="s">
        <v>64</v>
      </c>
      <c r="D24" s="97" t="s">
        <v>42</v>
      </c>
      <c r="E24" s="97" t="s">
        <v>43</v>
      </c>
      <c r="F24" s="104" t="s">
        <v>48</v>
      </c>
      <c r="G24" s="114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4">
        <f t="shared" si="1"/>
        <v>0</v>
      </c>
      <c r="AJ24" s="4">
        <f t="shared" si="2"/>
        <v>0</v>
      </c>
      <c r="AK24" s="4">
        <f t="shared" si="3"/>
        <v>0</v>
      </c>
    </row>
    <row r="25" spans="1:37" x14ac:dyDescent="0.35">
      <c r="A25" s="5">
        <v>21</v>
      </c>
      <c r="B25" s="18" t="s">
        <v>132</v>
      </c>
      <c r="C25" s="18" t="s">
        <v>64</v>
      </c>
      <c r="D25" s="97" t="s">
        <v>53</v>
      </c>
      <c r="E25" s="97" t="s">
        <v>43</v>
      </c>
      <c r="F25" s="104" t="s">
        <v>48</v>
      </c>
      <c r="G25" s="48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4">
        <f t="shared" si="1"/>
        <v>0</v>
      </c>
      <c r="AJ25" s="4">
        <f t="shared" si="2"/>
        <v>0</v>
      </c>
      <c r="AK25" s="4">
        <f t="shared" si="3"/>
        <v>0</v>
      </c>
    </row>
    <row r="26" spans="1:37" x14ac:dyDescent="0.35">
      <c r="A26" s="5">
        <v>22</v>
      </c>
      <c r="B26" s="17" t="s">
        <v>32</v>
      </c>
      <c r="C26" s="18" t="s">
        <v>64</v>
      </c>
      <c r="D26" s="97" t="s">
        <v>53</v>
      </c>
      <c r="E26" s="97" t="s">
        <v>45</v>
      </c>
      <c r="F26" s="104" t="s">
        <v>48</v>
      </c>
      <c r="G26" s="114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4">
        <f t="shared" si="1"/>
        <v>0</v>
      </c>
      <c r="AJ26" s="4">
        <f t="shared" si="2"/>
        <v>0</v>
      </c>
      <c r="AK26" s="4">
        <f t="shared" si="3"/>
        <v>0</v>
      </c>
    </row>
    <row r="27" spans="1:37" x14ac:dyDescent="0.35">
      <c r="A27" s="5">
        <v>23</v>
      </c>
      <c r="B27" s="17" t="s">
        <v>66</v>
      </c>
      <c r="C27" s="17" t="s">
        <v>65</v>
      </c>
      <c r="D27" s="97" t="s">
        <v>42</v>
      </c>
      <c r="E27" s="97" t="s">
        <v>45</v>
      </c>
      <c r="F27" s="104" t="s">
        <v>48</v>
      </c>
      <c r="G27" s="114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4">
        <f t="shared" si="1"/>
        <v>0</v>
      </c>
      <c r="AJ27" s="4">
        <f t="shared" si="2"/>
        <v>0</v>
      </c>
      <c r="AK27" s="4">
        <f t="shared" si="3"/>
        <v>0</v>
      </c>
    </row>
    <row r="28" spans="1:37" x14ac:dyDescent="0.35">
      <c r="A28" s="5">
        <v>24</v>
      </c>
      <c r="B28" s="17" t="s">
        <v>36</v>
      </c>
      <c r="C28" s="19" t="s">
        <v>67</v>
      </c>
      <c r="D28" s="109" t="s">
        <v>42</v>
      </c>
      <c r="E28" s="109" t="s">
        <v>45</v>
      </c>
      <c r="F28" s="109" t="s">
        <v>48</v>
      </c>
      <c r="G28" s="48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4">
        <f t="shared" si="1"/>
        <v>0</v>
      </c>
      <c r="AJ28" s="4">
        <f t="shared" si="2"/>
        <v>0</v>
      </c>
      <c r="AK28" s="4">
        <f t="shared" si="3"/>
        <v>0</v>
      </c>
    </row>
    <row r="29" spans="1:37" x14ac:dyDescent="0.35">
      <c r="A29" s="5">
        <v>25</v>
      </c>
      <c r="B29" s="17" t="s">
        <v>68</v>
      </c>
      <c r="C29" s="19" t="s">
        <v>67</v>
      </c>
      <c r="D29" s="109" t="s">
        <v>53</v>
      </c>
      <c r="E29" s="97" t="s">
        <v>45</v>
      </c>
      <c r="F29" s="104" t="s">
        <v>48</v>
      </c>
      <c r="G29" s="48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4">
        <f t="shared" si="1"/>
        <v>0</v>
      </c>
      <c r="AJ29" s="4">
        <f t="shared" si="2"/>
        <v>0</v>
      </c>
      <c r="AK29" s="4">
        <f t="shared" si="3"/>
        <v>0</v>
      </c>
    </row>
    <row r="30" spans="1:37" x14ac:dyDescent="0.35">
      <c r="A30" s="5">
        <v>26</v>
      </c>
      <c r="B30" s="19" t="s">
        <v>69</v>
      </c>
      <c r="C30" s="19" t="s">
        <v>67</v>
      </c>
      <c r="D30" s="109" t="s">
        <v>53</v>
      </c>
      <c r="E30" s="109" t="s">
        <v>45</v>
      </c>
      <c r="F30" s="109" t="s">
        <v>48</v>
      </c>
      <c r="G30" s="48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4">
        <f t="shared" si="1"/>
        <v>0</v>
      </c>
      <c r="AJ30" s="4">
        <f t="shared" si="2"/>
        <v>0</v>
      </c>
      <c r="AK30" s="4">
        <f t="shared" si="3"/>
        <v>0</v>
      </c>
    </row>
    <row r="31" spans="1:37" x14ac:dyDescent="0.35">
      <c r="A31" s="5">
        <v>27</v>
      </c>
      <c r="B31" s="19" t="s">
        <v>131</v>
      </c>
      <c r="C31" s="19" t="s">
        <v>67</v>
      </c>
      <c r="D31" s="109" t="s">
        <v>53</v>
      </c>
      <c r="E31" s="109" t="s">
        <v>45</v>
      </c>
      <c r="F31" s="109" t="s">
        <v>48</v>
      </c>
      <c r="G31" s="48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4">
        <f t="shared" si="1"/>
        <v>0</v>
      </c>
      <c r="AJ31" s="4">
        <f t="shared" si="2"/>
        <v>0</v>
      </c>
      <c r="AK31" s="4">
        <f t="shared" si="3"/>
        <v>0</v>
      </c>
    </row>
    <row r="32" spans="1:37" x14ac:dyDescent="0.35">
      <c r="A32" s="5">
        <v>28</v>
      </c>
      <c r="B32" s="17" t="s">
        <v>72</v>
      </c>
      <c r="C32" s="17" t="s">
        <v>73</v>
      </c>
      <c r="D32" s="97" t="s">
        <v>70</v>
      </c>
      <c r="E32" s="97" t="s">
        <v>45</v>
      </c>
      <c r="F32" s="104" t="s">
        <v>48</v>
      </c>
      <c r="G32" s="48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4">
        <f t="shared" si="1"/>
        <v>0</v>
      </c>
      <c r="AJ32" s="4">
        <f t="shared" si="2"/>
        <v>0</v>
      </c>
      <c r="AK32" s="4">
        <f t="shared" si="3"/>
        <v>0</v>
      </c>
    </row>
    <row r="33" spans="1:37" x14ac:dyDescent="0.35">
      <c r="A33" s="5">
        <v>29</v>
      </c>
      <c r="B33" s="17" t="s">
        <v>74</v>
      </c>
      <c r="C33" s="17" t="s">
        <v>73</v>
      </c>
      <c r="D33" s="97" t="s">
        <v>42</v>
      </c>
      <c r="E33" s="97" t="s">
        <v>45</v>
      </c>
      <c r="F33" s="104" t="s">
        <v>48</v>
      </c>
      <c r="G33" s="48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4">
        <f t="shared" si="1"/>
        <v>0</v>
      </c>
      <c r="AJ33" s="4">
        <f t="shared" si="2"/>
        <v>0</v>
      </c>
      <c r="AK33" s="4">
        <f t="shared" si="3"/>
        <v>0</v>
      </c>
    </row>
    <row r="34" spans="1:37" x14ac:dyDescent="0.35">
      <c r="A34" s="5">
        <v>30</v>
      </c>
      <c r="B34" s="17" t="s">
        <v>75</v>
      </c>
      <c r="C34" s="17" t="s">
        <v>76</v>
      </c>
      <c r="D34" s="97" t="s">
        <v>53</v>
      </c>
      <c r="E34" s="97" t="s">
        <v>45</v>
      </c>
      <c r="F34" s="104" t="s">
        <v>48</v>
      </c>
      <c r="G34" s="48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4">
        <f t="shared" si="1"/>
        <v>0</v>
      </c>
      <c r="AJ34" s="4">
        <f t="shared" si="2"/>
        <v>0</v>
      </c>
      <c r="AK34" s="4">
        <f t="shared" si="3"/>
        <v>0</v>
      </c>
    </row>
    <row r="35" spans="1:37" x14ac:dyDescent="0.35">
      <c r="A35" s="5">
        <v>31</v>
      </c>
      <c r="B35" s="18" t="s">
        <v>29</v>
      </c>
      <c r="C35" s="17" t="s">
        <v>76</v>
      </c>
      <c r="D35" s="97" t="s">
        <v>70</v>
      </c>
      <c r="E35" s="97" t="s">
        <v>45</v>
      </c>
      <c r="F35" s="104" t="s">
        <v>48</v>
      </c>
      <c r="G35" s="48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4">
        <f t="shared" si="1"/>
        <v>0</v>
      </c>
      <c r="AJ35" s="4">
        <f t="shared" si="2"/>
        <v>0</v>
      </c>
      <c r="AK35" s="4">
        <f t="shared" si="3"/>
        <v>0</v>
      </c>
    </row>
    <row r="36" spans="1:37" x14ac:dyDescent="0.35">
      <c r="A36" s="5">
        <v>32</v>
      </c>
      <c r="B36" s="17" t="s">
        <v>176</v>
      </c>
      <c r="C36" s="17" t="s">
        <v>76</v>
      </c>
      <c r="D36" s="97" t="s">
        <v>53</v>
      </c>
      <c r="E36" s="97" t="s">
        <v>45</v>
      </c>
      <c r="F36" s="104" t="s">
        <v>48</v>
      </c>
      <c r="G36" s="48"/>
      <c r="H36" s="39"/>
      <c r="I36" s="39"/>
      <c r="J36" s="44"/>
      <c r="K36" s="45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4">
        <f t="shared" si="1"/>
        <v>0</v>
      </c>
      <c r="AJ36" s="4">
        <f t="shared" si="2"/>
        <v>0</v>
      </c>
      <c r="AK36" s="4">
        <f t="shared" si="3"/>
        <v>0</v>
      </c>
    </row>
    <row r="37" spans="1:37" x14ac:dyDescent="0.35">
      <c r="A37" s="5">
        <v>33</v>
      </c>
      <c r="B37" s="18" t="s">
        <v>79</v>
      </c>
      <c r="C37" s="17" t="s">
        <v>80</v>
      </c>
      <c r="D37" s="97" t="s">
        <v>42</v>
      </c>
      <c r="E37" s="97" t="s">
        <v>45</v>
      </c>
      <c r="F37" s="104" t="s">
        <v>48</v>
      </c>
      <c r="G37" s="48"/>
      <c r="H37" s="39"/>
      <c r="I37" s="39"/>
      <c r="J37" s="45"/>
      <c r="K37" s="45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4">
        <f t="shared" si="1"/>
        <v>0</v>
      </c>
      <c r="AJ37" s="4">
        <f t="shared" si="2"/>
        <v>0</v>
      </c>
      <c r="AK37" s="4">
        <f t="shared" si="3"/>
        <v>0</v>
      </c>
    </row>
    <row r="38" spans="1:37" x14ac:dyDescent="0.35">
      <c r="A38" s="5">
        <v>34</v>
      </c>
      <c r="B38" s="17" t="s">
        <v>81</v>
      </c>
      <c r="C38" s="17" t="s">
        <v>80</v>
      </c>
      <c r="D38" s="97" t="s">
        <v>53</v>
      </c>
      <c r="E38" s="97" t="s">
        <v>45</v>
      </c>
      <c r="F38" s="104" t="s">
        <v>48</v>
      </c>
      <c r="G38" s="48"/>
      <c r="H38" s="39"/>
      <c r="I38" s="39"/>
      <c r="J38" s="44"/>
      <c r="K38" s="46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4">
        <f t="shared" si="1"/>
        <v>0</v>
      </c>
      <c r="AJ38" s="4">
        <f t="shared" si="2"/>
        <v>0</v>
      </c>
      <c r="AK38" s="4">
        <f t="shared" si="3"/>
        <v>0</v>
      </c>
    </row>
    <row r="39" spans="1:37" x14ac:dyDescent="0.35">
      <c r="A39" s="5">
        <v>35</v>
      </c>
      <c r="B39" s="17" t="s">
        <v>12</v>
      </c>
      <c r="C39" s="17" t="s">
        <v>82</v>
      </c>
      <c r="D39" s="97" t="s">
        <v>42</v>
      </c>
      <c r="E39" s="97" t="s">
        <v>45</v>
      </c>
      <c r="F39" s="104" t="s">
        <v>48</v>
      </c>
      <c r="G39" s="48"/>
      <c r="H39" s="39"/>
      <c r="I39" s="39"/>
      <c r="J39" s="44"/>
      <c r="K39" s="45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4">
        <f t="shared" si="1"/>
        <v>0</v>
      </c>
      <c r="AJ39" s="4">
        <f t="shared" si="2"/>
        <v>0</v>
      </c>
      <c r="AK39" s="4">
        <f t="shared" si="3"/>
        <v>0</v>
      </c>
    </row>
    <row r="40" spans="1:37" x14ac:dyDescent="0.35">
      <c r="A40" s="5">
        <v>36</v>
      </c>
      <c r="B40" s="17" t="s">
        <v>13</v>
      </c>
      <c r="C40" s="17" t="s">
        <v>82</v>
      </c>
      <c r="D40" s="97" t="s">
        <v>53</v>
      </c>
      <c r="E40" s="97" t="s">
        <v>45</v>
      </c>
      <c r="F40" s="104" t="s">
        <v>48</v>
      </c>
      <c r="G40" s="48"/>
      <c r="H40" s="39"/>
      <c r="I40" s="39"/>
      <c r="J40" s="45"/>
      <c r="K40" s="45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4">
        <f t="shared" si="1"/>
        <v>0</v>
      </c>
      <c r="AJ40" s="4">
        <f t="shared" si="2"/>
        <v>0</v>
      </c>
      <c r="AK40" s="4">
        <f t="shared" si="3"/>
        <v>0</v>
      </c>
    </row>
    <row r="41" spans="1:37" x14ac:dyDescent="0.35">
      <c r="A41" s="5">
        <v>37</v>
      </c>
      <c r="B41" s="17" t="s">
        <v>84</v>
      </c>
      <c r="C41" s="17" t="s">
        <v>82</v>
      </c>
      <c r="D41" s="97" t="s">
        <v>53</v>
      </c>
      <c r="E41" s="97" t="s">
        <v>45</v>
      </c>
      <c r="F41" s="104" t="s">
        <v>48</v>
      </c>
      <c r="G41" s="48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4">
        <f t="shared" si="1"/>
        <v>0</v>
      </c>
      <c r="AJ41" s="4">
        <f t="shared" si="2"/>
        <v>0</v>
      </c>
      <c r="AK41" s="4">
        <f t="shared" si="3"/>
        <v>0</v>
      </c>
    </row>
    <row r="42" spans="1:37" x14ac:dyDescent="0.35">
      <c r="A42" s="5">
        <v>38</v>
      </c>
      <c r="B42" s="17" t="s">
        <v>177</v>
      </c>
      <c r="C42" s="17" t="s">
        <v>2</v>
      </c>
      <c r="D42" s="97" t="s">
        <v>53</v>
      </c>
      <c r="E42" s="97" t="s">
        <v>45</v>
      </c>
      <c r="F42" s="104" t="s">
        <v>48</v>
      </c>
      <c r="G42" s="48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4">
        <f t="shared" si="1"/>
        <v>0</v>
      </c>
      <c r="AJ42" s="4">
        <f t="shared" si="2"/>
        <v>0</v>
      </c>
      <c r="AK42" s="4">
        <f t="shared" si="3"/>
        <v>0</v>
      </c>
    </row>
    <row r="43" spans="1:37" x14ac:dyDescent="0.35">
      <c r="A43" s="5">
        <v>39</v>
      </c>
      <c r="B43" s="18" t="s">
        <v>10</v>
      </c>
      <c r="C43" s="18" t="s">
        <v>2</v>
      </c>
      <c r="D43" s="97" t="s">
        <v>53</v>
      </c>
      <c r="E43" s="97" t="s">
        <v>45</v>
      </c>
      <c r="F43" s="104" t="s">
        <v>48</v>
      </c>
      <c r="G43" s="48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4">
        <f t="shared" si="1"/>
        <v>0</v>
      </c>
      <c r="AJ43" s="4">
        <f t="shared" si="2"/>
        <v>0</v>
      </c>
      <c r="AK43" s="4">
        <f t="shared" si="3"/>
        <v>0</v>
      </c>
    </row>
    <row r="44" spans="1:37" x14ac:dyDescent="0.35">
      <c r="A44" s="5">
        <v>40</v>
      </c>
      <c r="B44" s="17" t="s">
        <v>178</v>
      </c>
      <c r="C44" s="17" t="s">
        <v>179</v>
      </c>
      <c r="D44" s="97" t="s">
        <v>42</v>
      </c>
      <c r="E44" s="97" t="s">
        <v>45</v>
      </c>
      <c r="F44" s="104" t="s">
        <v>169</v>
      </c>
      <c r="G44" s="48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4">
        <f t="shared" si="1"/>
        <v>0</v>
      </c>
      <c r="AJ44" s="4">
        <f t="shared" si="2"/>
        <v>0</v>
      </c>
      <c r="AK44" s="4">
        <f t="shared" si="3"/>
        <v>0</v>
      </c>
    </row>
    <row r="45" spans="1:37" x14ac:dyDescent="0.35">
      <c r="A45" s="5">
        <v>41</v>
      </c>
      <c r="B45" s="18" t="s">
        <v>87</v>
      </c>
      <c r="C45" s="18" t="s">
        <v>86</v>
      </c>
      <c r="D45" s="97" t="s">
        <v>70</v>
      </c>
      <c r="E45" s="97" t="s">
        <v>45</v>
      </c>
      <c r="F45" s="104" t="s">
        <v>48</v>
      </c>
      <c r="G45" s="48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4">
        <f t="shared" si="1"/>
        <v>0</v>
      </c>
      <c r="AJ45" s="4">
        <f t="shared" si="2"/>
        <v>0</v>
      </c>
      <c r="AK45" s="4">
        <f t="shared" si="3"/>
        <v>0</v>
      </c>
    </row>
    <row r="46" spans="1:37" x14ac:dyDescent="0.35">
      <c r="A46" s="5">
        <v>42</v>
      </c>
      <c r="B46" s="17" t="s">
        <v>88</v>
      </c>
      <c r="C46" s="19" t="s">
        <v>86</v>
      </c>
      <c r="D46" s="97" t="s">
        <v>70</v>
      </c>
      <c r="E46" s="97" t="s">
        <v>45</v>
      </c>
      <c r="F46" s="104" t="s">
        <v>48</v>
      </c>
      <c r="G46" s="48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4">
        <f t="shared" si="1"/>
        <v>0</v>
      </c>
      <c r="AJ46" s="4">
        <f t="shared" si="2"/>
        <v>0</v>
      </c>
      <c r="AK46" s="4">
        <f t="shared" si="3"/>
        <v>0</v>
      </c>
    </row>
    <row r="47" spans="1:37" x14ac:dyDescent="0.35">
      <c r="A47" s="5">
        <v>43</v>
      </c>
      <c r="B47" s="18" t="s">
        <v>89</v>
      </c>
      <c r="C47" s="18" t="s">
        <v>86</v>
      </c>
      <c r="D47" s="97" t="s">
        <v>42</v>
      </c>
      <c r="E47" s="97" t="s">
        <v>45</v>
      </c>
      <c r="F47" s="104" t="s">
        <v>48</v>
      </c>
      <c r="G47" s="48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4">
        <f t="shared" si="1"/>
        <v>0</v>
      </c>
      <c r="AJ47" s="4">
        <f t="shared" si="2"/>
        <v>0</v>
      </c>
      <c r="AK47" s="4">
        <f t="shared" si="3"/>
        <v>0</v>
      </c>
    </row>
    <row r="48" spans="1:37" x14ac:dyDescent="0.35">
      <c r="A48" s="5">
        <v>44</v>
      </c>
      <c r="B48" s="18" t="s">
        <v>180</v>
      </c>
      <c r="C48" s="17" t="s">
        <v>179</v>
      </c>
      <c r="D48" s="97" t="s">
        <v>42</v>
      </c>
      <c r="E48" s="97" t="s">
        <v>43</v>
      </c>
      <c r="F48" s="104" t="s">
        <v>169</v>
      </c>
      <c r="G48" s="48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4">
        <f t="shared" si="1"/>
        <v>0</v>
      </c>
      <c r="AJ48" s="4">
        <f t="shared" si="2"/>
        <v>0</v>
      </c>
      <c r="AK48" s="4">
        <f t="shared" si="3"/>
        <v>0</v>
      </c>
    </row>
    <row r="49" spans="1:37" x14ac:dyDescent="0.35">
      <c r="A49" s="5">
        <v>45</v>
      </c>
      <c r="B49" s="18" t="s">
        <v>90</v>
      </c>
      <c r="C49" s="18" t="s">
        <v>91</v>
      </c>
      <c r="D49" s="97" t="s">
        <v>42</v>
      </c>
      <c r="E49" s="97" t="s">
        <v>45</v>
      </c>
      <c r="F49" s="104" t="s">
        <v>48</v>
      </c>
      <c r="G49" s="48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4">
        <f t="shared" si="1"/>
        <v>0</v>
      </c>
      <c r="AJ49" s="4">
        <f t="shared" si="2"/>
        <v>0</v>
      </c>
      <c r="AK49" s="4">
        <f t="shared" si="3"/>
        <v>0</v>
      </c>
    </row>
    <row r="50" spans="1:37" x14ac:dyDescent="0.35">
      <c r="A50" s="5">
        <v>46</v>
      </c>
      <c r="B50" s="18" t="s">
        <v>34</v>
      </c>
      <c r="C50" s="18" t="s">
        <v>91</v>
      </c>
      <c r="D50" s="97" t="s">
        <v>53</v>
      </c>
      <c r="E50" s="97" t="s">
        <v>45</v>
      </c>
      <c r="F50" s="104" t="s">
        <v>48</v>
      </c>
      <c r="G50" s="48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4">
        <f t="shared" si="1"/>
        <v>0</v>
      </c>
      <c r="AJ50" s="4">
        <f t="shared" si="2"/>
        <v>0</v>
      </c>
      <c r="AK50" s="4">
        <f t="shared" si="3"/>
        <v>0</v>
      </c>
    </row>
    <row r="51" spans="1:37" x14ac:dyDescent="0.35">
      <c r="A51" s="5">
        <v>47</v>
      </c>
      <c r="B51" s="18" t="s">
        <v>92</v>
      </c>
      <c r="C51" s="18" t="s">
        <v>91</v>
      </c>
      <c r="D51" s="97" t="s">
        <v>53</v>
      </c>
      <c r="E51" s="97" t="s">
        <v>45</v>
      </c>
      <c r="F51" s="104" t="s">
        <v>48</v>
      </c>
      <c r="G51" s="48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4">
        <f t="shared" si="1"/>
        <v>0</v>
      </c>
      <c r="AJ51" s="4">
        <f t="shared" si="2"/>
        <v>0</v>
      </c>
      <c r="AK51" s="4">
        <f t="shared" si="3"/>
        <v>0</v>
      </c>
    </row>
    <row r="52" spans="1:37" x14ac:dyDescent="0.35">
      <c r="A52" s="5">
        <v>48</v>
      </c>
      <c r="B52" s="18" t="s">
        <v>181</v>
      </c>
      <c r="C52" s="18" t="s">
        <v>91</v>
      </c>
      <c r="D52" s="97" t="s">
        <v>53</v>
      </c>
      <c r="E52" s="97" t="s">
        <v>45</v>
      </c>
      <c r="F52" s="104" t="s">
        <v>48</v>
      </c>
      <c r="G52" s="48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4">
        <f t="shared" si="1"/>
        <v>0</v>
      </c>
      <c r="AJ52" s="4">
        <f t="shared" si="2"/>
        <v>0</v>
      </c>
      <c r="AK52" s="4">
        <f t="shared" si="3"/>
        <v>0</v>
      </c>
    </row>
    <row r="53" spans="1:37" x14ac:dyDescent="0.35">
      <c r="A53" s="5">
        <v>49</v>
      </c>
      <c r="B53" s="18" t="s">
        <v>94</v>
      </c>
      <c r="C53" s="18" t="s">
        <v>91</v>
      </c>
      <c r="D53" s="97" t="s">
        <v>53</v>
      </c>
      <c r="E53" s="97" t="s">
        <v>45</v>
      </c>
      <c r="F53" s="104" t="s">
        <v>48</v>
      </c>
      <c r="G53" s="48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4">
        <f t="shared" si="1"/>
        <v>0</v>
      </c>
      <c r="AJ53" s="4">
        <f t="shared" si="2"/>
        <v>0</v>
      </c>
      <c r="AK53" s="4">
        <f t="shared" si="3"/>
        <v>0</v>
      </c>
    </row>
    <row r="54" spans="1:37" x14ac:dyDescent="0.35">
      <c r="A54" s="5">
        <v>50</v>
      </c>
      <c r="B54" s="17" t="s">
        <v>182</v>
      </c>
      <c r="C54" s="17" t="s">
        <v>179</v>
      </c>
      <c r="D54" s="97" t="s">
        <v>53</v>
      </c>
      <c r="E54" s="97" t="s">
        <v>45</v>
      </c>
      <c r="F54" s="104" t="s">
        <v>169</v>
      </c>
      <c r="G54" s="48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4">
        <f t="shared" si="1"/>
        <v>0</v>
      </c>
      <c r="AJ54" s="4">
        <f t="shared" si="2"/>
        <v>0</v>
      </c>
      <c r="AK54" s="4">
        <f t="shared" si="3"/>
        <v>0</v>
      </c>
    </row>
    <row r="55" spans="1:37" x14ac:dyDescent="0.35">
      <c r="A55" s="5">
        <v>51</v>
      </c>
      <c r="B55" s="18" t="s">
        <v>95</v>
      </c>
      <c r="C55" s="18" t="s">
        <v>96</v>
      </c>
      <c r="D55" s="97" t="s">
        <v>42</v>
      </c>
      <c r="E55" s="97" t="s">
        <v>45</v>
      </c>
      <c r="F55" s="104" t="s">
        <v>48</v>
      </c>
      <c r="G55" s="48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4">
        <f t="shared" si="1"/>
        <v>0</v>
      </c>
      <c r="AJ55" s="4">
        <f t="shared" si="2"/>
        <v>0</v>
      </c>
      <c r="AK55" s="4">
        <f t="shared" si="3"/>
        <v>0</v>
      </c>
    </row>
    <row r="56" spans="1:37" x14ac:dyDescent="0.35">
      <c r="A56" s="5">
        <v>52</v>
      </c>
      <c r="B56" s="18" t="s">
        <v>97</v>
      </c>
      <c r="C56" s="18" t="s">
        <v>96</v>
      </c>
      <c r="D56" s="97" t="s">
        <v>53</v>
      </c>
      <c r="E56" s="97" t="s">
        <v>45</v>
      </c>
      <c r="F56" s="104" t="s">
        <v>48</v>
      </c>
      <c r="G56" s="48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4">
        <f t="shared" si="1"/>
        <v>0</v>
      </c>
      <c r="AJ56" s="4">
        <f t="shared" si="2"/>
        <v>0</v>
      </c>
      <c r="AK56" s="4">
        <f t="shared" si="3"/>
        <v>0</v>
      </c>
    </row>
    <row r="57" spans="1:37" x14ac:dyDescent="0.35">
      <c r="A57" s="5">
        <v>53</v>
      </c>
      <c r="B57" s="18" t="s">
        <v>18</v>
      </c>
      <c r="C57" s="18" t="s">
        <v>96</v>
      </c>
      <c r="D57" s="97" t="s">
        <v>70</v>
      </c>
      <c r="E57" s="97" t="s">
        <v>45</v>
      </c>
      <c r="F57" s="104" t="s">
        <v>48</v>
      </c>
      <c r="G57" s="48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4">
        <f t="shared" si="1"/>
        <v>0</v>
      </c>
      <c r="AJ57" s="4">
        <f t="shared" si="2"/>
        <v>0</v>
      </c>
      <c r="AK57" s="4">
        <f t="shared" si="3"/>
        <v>0</v>
      </c>
    </row>
    <row r="58" spans="1:37" x14ac:dyDescent="0.35">
      <c r="A58" s="5">
        <v>54</v>
      </c>
      <c r="B58" s="18" t="s">
        <v>98</v>
      </c>
      <c r="C58" s="18" t="s">
        <v>96</v>
      </c>
      <c r="D58" s="97" t="s">
        <v>70</v>
      </c>
      <c r="E58" s="97" t="s">
        <v>45</v>
      </c>
      <c r="F58" s="104" t="s">
        <v>48</v>
      </c>
      <c r="G58" s="48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4">
        <f t="shared" si="1"/>
        <v>0</v>
      </c>
      <c r="AJ58" s="4">
        <f t="shared" si="2"/>
        <v>0</v>
      </c>
      <c r="AK58" s="4">
        <f t="shared" si="3"/>
        <v>0</v>
      </c>
    </row>
    <row r="59" spans="1:37" x14ac:dyDescent="0.35">
      <c r="A59" s="5">
        <v>55</v>
      </c>
      <c r="B59" s="18" t="s">
        <v>183</v>
      </c>
      <c r="C59" s="18" t="s">
        <v>96</v>
      </c>
      <c r="D59" s="97" t="s">
        <v>70</v>
      </c>
      <c r="E59" s="97" t="s">
        <v>45</v>
      </c>
      <c r="F59" s="104" t="s">
        <v>48</v>
      </c>
      <c r="G59" s="48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4">
        <f t="shared" si="1"/>
        <v>0</v>
      </c>
      <c r="AJ59" s="4">
        <f t="shared" si="2"/>
        <v>0</v>
      </c>
      <c r="AK59" s="4">
        <f t="shared" si="3"/>
        <v>0</v>
      </c>
    </row>
    <row r="60" spans="1:37" x14ac:dyDescent="0.35">
      <c r="A60" s="5">
        <v>56</v>
      </c>
      <c r="B60" s="18" t="s">
        <v>99</v>
      </c>
      <c r="C60" s="18" t="s">
        <v>96</v>
      </c>
      <c r="D60" s="97" t="s">
        <v>70</v>
      </c>
      <c r="E60" s="97" t="s">
        <v>45</v>
      </c>
      <c r="F60" s="104" t="s">
        <v>48</v>
      </c>
      <c r="G60" s="48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4">
        <f t="shared" si="1"/>
        <v>0</v>
      </c>
      <c r="AJ60" s="4">
        <f t="shared" si="2"/>
        <v>0</v>
      </c>
      <c r="AK60" s="4">
        <f t="shared" si="3"/>
        <v>0</v>
      </c>
    </row>
    <row r="61" spans="1:37" x14ac:dyDescent="0.35">
      <c r="A61" s="5">
        <v>57</v>
      </c>
      <c r="B61" s="18" t="s">
        <v>100</v>
      </c>
      <c r="C61" s="19" t="s">
        <v>96</v>
      </c>
      <c r="D61" s="109" t="s">
        <v>42</v>
      </c>
      <c r="E61" s="109" t="s">
        <v>43</v>
      </c>
      <c r="F61" s="104" t="s">
        <v>48</v>
      </c>
      <c r="G61" s="48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4">
        <f t="shared" si="1"/>
        <v>0</v>
      </c>
      <c r="AJ61" s="4">
        <f t="shared" si="2"/>
        <v>0</v>
      </c>
      <c r="AK61" s="4">
        <f t="shared" si="3"/>
        <v>0</v>
      </c>
    </row>
    <row r="62" spans="1:37" x14ac:dyDescent="0.35">
      <c r="A62" s="5">
        <v>58</v>
      </c>
      <c r="B62" s="18" t="s">
        <v>30</v>
      </c>
      <c r="C62" s="19" t="s">
        <v>47</v>
      </c>
      <c r="D62" s="97" t="s">
        <v>53</v>
      </c>
      <c r="E62" s="97" t="s">
        <v>45</v>
      </c>
      <c r="F62" s="104" t="s">
        <v>48</v>
      </c>
      <c r="G62" s="48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4">
        <f t="shared" si="1"/>
        <v>0</v>
      </c>
      <c r="AJ62" s="4">
        <f t="shared" si="2"/>
        <v>0</v>
      </c>
      <c r="AK62" s="4">
        <f t="shared" si="3"/>
        <v>0</v>
      </c>
    </row>
    <row r="63" spans="1:37" x14ac:dyDescent="0.35">
      <c r="A63" s="5">
        <v>59</v>
      </c>
      <c r="B63" s="19" t="s">
        <v>101</v>
      </c>
      <c r="C63" s="19" t="s">
        <v>96</v>
      </c>
      <c r="D63" s="109" t="s">
        <v>42</v>
      </c>
      <c r="E63" s="109" t="s">
        <v>43</v>
      </c>
      <c r="F63" s="104" t="s">
        <v>48</v>
      </c>
      <c r="G63" s="48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4">
        <f t="shared" si="1"/>
        <v>0</v>
      </c>
      <c r="AJ63" s="4">
        <f t="shared" si="2"/>
        <v>0</v>
      </c>
      <c r="AK63" s="4">
        <f t="shared" si="3"/>
        <v>0</v>
      </c>
    </row>
    <row r="64" spans="1:37" x14ac:dyDescent="0.35">
      <c r="A64" s="5">
        <v>60</v>
      </c>
      <c r="B64" s="18" t="s">
        <v>102</v>
      </c>
      <c r="C64" s="18" t="s">
        <v>96</v>
      </c>
      <c r="D64" s="97" t="s">
        <v>42</v>
      </c>
      <c r="E64" s="97" t="s">
        <v>45</v>
      </c>
      <c r="F64" s="104" t="s">
        <v>48</v>
      </c>
      <c r="G64" s="48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4">
        <f t="shared" si="1"/>
        <v>0</v>
      </c>
      <c r="AJ64" s="4">
        <f t="shared" si="2"/>
        <v>0</v>
      </c>
      <c r="AK64" s="4">
        <f t="shared" si="3"/>
        <v>0</v>
      </c>
    </row>
    <row r="65" spans="1:37" x14ac:dyDescent="0.35">
      <c r="A65" s="5">
        <v>61</v>
      </c>
      <c r="B65" s="18" t="s">
        <v>16</v>
      </c>
      <c r="C65" s="18" t="s">
        <v>4</v>
      </c>
      <c r="D65" s="97" t="s">
        <v>53</v>
      </c>
      <c r="E65" s="97" t="s">
        <v>45</v>
      </c>
      <c r="F65" s="104" t="s">
        <v>48</v>
      </c>
      <c r="G65" s="48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4">
        <f t="shared" si="1"/>
        <v>0</v>
      </c>
      <c r="AJ65" s="4">
        <f t="shared" si="2"/>
        <v>0</v>
      </c>
      <c r="AK65" s="4">
        <f t="shared" si="3"/>
        <v>0</v>
      </c>
    </row>
    <row r="66" spans="1:37" x14ac:dyDescent="0.35">
      <c r="A66" s="5">
        <v>62</v>
      </c>
      <c r="B66" s="18" t="s">
        <v>103</v>
      </c>
      <c r="C66" s="18" t="s">
        <v>4</v>
      </c>
      <c r="D66" s="97" t="s">
        <v>42</v>
      </c>
      <c r="E66" s="97" t="s">
        <v>45</v>
      </c>
      <c r="F66" s="104" t="s">
        <v>48</v>
      </c>
      <c r="G66" s="48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4">
        <f t="shared" si="1"/>
        <v>0</v>
      </c>
      <c r="AJ66" s="4">
        <f t="shared" si="2"/>
        <v>0</v>
      </c>
      <c r="AK66" s="4">
        <f t="shared" si="3"/>
        <v>0</v>
      </c>
    </row>
    <row r="67" spans="1:37" x14ac:dyDescent="0.35">
      <c r="A67" s="5">
        <v>63</v>
      </c>
      <c r="B67" s="18" t="s">
        <v>104</v>
      </c>
      <c r="C67" s="18" t="s">
        <v>4</v>
      </c>
      <c r="D67" s="97" t="s">
        <v>42</v>
      </c>
      <c r="E67" s="97" t="s">
        <v>45</v>
      </c>
      <c r="F67" s="104" t="s">
        <v>48</v>
      </c>
      <c r="G67" s="48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4">
        <f t="shared" si="1"/>
        <v>0</v>
      </c>
      <c r="AJ67" s="4">
        <f t="shared" si="2"/>
        <v>0</v>
      </c>
      <c r="AK67" s="4">
        <f t="shared" si="3"/>
        <v>0</v>
      </c>
    </row>
    <row r="68" spans="1:37" x14ac:dyDescent="0.35">
      <c r="A68" s="5">
        <v>64</v>
      </c>
      <c r="B68" s="18" t="s">
        <v>105</v>
      </c>
      <c r="C68" s="18" t="s">
        <v>4</v>
      </c>
      <c r="D68" s="97" t="s">
        <v>42</v>
      </c>
      <c r="E68" s="97" t="s">
        <v>45</v>
      </c>
      <c r="F68" s="104" t="s">
        <v>48</v>
      </c>
      <c r="G68" s="48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4">
        <f t="shared" si="1"/>
        <v>0</v>
      </c>
      <c r="AJ68" s="4">
        <f t="shared" si="2"/>
        <v>0</v>
      </c>
      <c r="AK68" s="4">
        <f t="shared" si="3"/>
        <v>0</v>
      </c>
    </row>
    <row r="69" spans="1:37" x14ac:dyDescent="0.35">
      <c r="A69" s="5">
        <v>65</v>
      </c>
      <c r="B69" s="18" t="s">
        <v>106</v>
      </c>
      <c r="C69" s="18" t="s">
        <v>4</v>
      </c>
      <c r="D69" s="97" t="s">
        <v>70</v>
      </c>
      <c r="E69" s="97" t="s">
        <v>45</v>
      </c>
      <c r="F69" s="104" t="s">
        <v>48</v>
      </c>
      <c r="G69" s="48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4">
        <f t="shared" si="1"/>
        <v>0</v>
      </c>
      <c r="AJ69" s="4">
        <f t="shared" si="2"/>
        <v>0</v>
      </c>
      <c r="AK69" s="4">
        <f t="shared" si="3"/>
        <v>0</v>
      </c>
    </row>
    <row r="70" spans="1:37" x14ac:dyDescent="0.35">
      <c r="A70" s="5">
        <v>66</v>
      </c>
      <c r="B70" s="18" t="s">
        <v>107</v>
      </c>
      <c r="C70" s="18" t="s">
        <v>4</v>
      </c>
      <c r="D70" s="97" t="s">
        <v>53</v>
      </c>
      <c r="E70" s="97" t="s">
        <v>45</v>
      </c>
      <c r="F70" s="104" t="s">
        <v>48</v>
      </c>
      <c r="G70" s="48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4">
        <f t="shared" si="1"/>
        <v>0</v>
      </c>
      <c r="AJ70" s="4">
        <f t="shared" si="2"/>
        <v>0</v>
      </c>
      <c r="AK70" s="4">
        <f t="shared" si="3"/>
        <v>0</v>
      </c>
    </row>
    <row r="71" spans="1:37" x14ac:dyDescent="0.35">
      <c r="A71" s="5">
        <v>67</v>
      </c>
      <c r="B71" s="19" t="s">
        <v>108</v>
      </c>
      <c r="C71" s="19" t="s">
        <v>4</v>
      </c>
      <c r="D71" s="109" t="s">
        <v>124</v>
      </c>
      <c r="E71" s="97" t="s">
        <v>45</v>
      </c>
      <c r="F71" s="104" t="s">
        <v>48</v>
      </c>
      <c r="G71" s="48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4">
        <f t="shared" ref="AI71:AI90" si="4">COUNTIF(G71:AH71,"SL")</f>
        <v>0</v>
      </c>
      <c r="AJ71" s="4">
        <f t="shared" ref="AJ71:AJ90" si="5">COUNTIF(G71:AH71,"WL")</f>
        <v>0</v>
      </c>
      <c r="AK71" s="4">
        <f t="shared" ref="AK71:AK90" si="6">COUNTIF(G71:AH71,"Absent")</f>
        <v>0</v>
      </c>
    </row>
    <row r="72" spans="1:37" x14ac:dyDescent="0.35">
      <c r="A72" s="5">
        <v>68</v>
      </c>
      <c r="B72" s="19" t="s">
        <v>109</v>
      </c>
      <c r="C72" s="18" t="s">
        <v>4</v>
      </c>
      <c r="D72" s="97" t="s">
        <v>53</v>
      </c>
      <c r="E72" s="97" t="s">
        <v>45</v>
      </c>
      <c r="F72" s="104" t="s">
        <v>48</v>
      </c>
      <c r="G72" s="48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4">
        <f t="shared" si="4"/>
        <v>0</v>
      </c>
      <c r="AJ72" s="4">
        <f t="shared" si="5"/>
        <v>0</v>
      </c>
      <c r="AK72" s="4">
        <f t="shared" si="6"/>
        <v>0</v>
      </c>
    </row>
    <row r="73" spans="1:37" x14ac:dyDescent="0.35">
      <c r="A73" s="5">
        <v>69</v>
      </c>
      <c r="B73" s="17" t="s">
        <v>184</v>
      </c>
      <c r="C73" s="17" t="s">
        <v>185</v>
      </c>
      <c r="D73" s="97" t="s">
        <v>42</v>
      </c>
      <c r="E73" s="97" t="s">
        <v>43</v>
      </c>
      <c r="F73" s="104" t="s">
        <v>169</v>
      </c>
      <c r="G73" s="48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4">
        <f t="shared" si="4"/>
        <v>0</v>
      </c>
      <c r="AJ73" s="4">
        <f t="shared" si="5"/>
        <v>0</v>
      </c>
      <c r="AK73" s="4">
        <f t="shared" si="6"/>
        <v>0</v>
      </c>
    </row>
    <row r="74" spans="1:37" x14ac:dyDescent="0.35">
      <c r="A74" s="5">
        <v>70</v>
      </c>
      <c r="B74" s="17" t="s">
        <v>186</v>
      </c>
      <c r="C74" s="17" t="s">
        <v>179</v>
      </c>
      <c r="D74" s="97" t="s">
        <v>53</v>
      </c>
      <c r="E74" s="97" t="s">
        <v>45</v>
      </c>
      <c r="F74" s="104" t="s">
        <v>169</v>
      </c>
      <c r="G74" s="48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4">
        <f t="shared" si="4"/>
        <v>0</v>
      </c>
      <c r="AJ74" s="4">
        <f t="shared" si="5"/>
        <v>0</v>
      </c>
      <c r="AK74" s="4">
        <f t="shared" si="6"/>
        <v>0</v>
      </c>
    </row>
    <row r="75" spans="1:37" x14ac:dyDescent="0.35">
      <c r="A75" s="5">
        <v>71</v>
      </c>
      <c r="B75" s="17" t="s">
        <v>187</v>
      </c>
      <c r="C75" s="17" t="s">
        <v>179</v>
      </c>
      <c r="D75" s="97" t="s">
        <v>42</v>
      </c>
      <c r="E75" s="97" t="s">
        <v>43</v>
      </c>
      <c r="F75" s="104" t="s">
        <v>169</v>
      </c>
      <c r="G75" s="48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4">
        <f t="shared" si="4"/>
        <v>0</v>
      </c>
      <c r="AJ75" s="4">
        <f t="shared" si="5"/>
        <v>0</v>
      </c>
      <c r="AK75" s="4">
        <f t="shared" si="6"/>
        <v>0</v>
      </c>
    </row>
    <row r="76" spans="1:37" x14ac:dyDescent="0.35">
      <c r="A76" s="5">
        <v>72</v>
      </c>
      <c r="B76" s="18" t="s">
        <v>111</v>
      </c>
      <c r="C76" s="17" t="s">
        <v>5</v>
      </c>
      <c r="D76" s="97" t="s">
        <v>42</v>
      </c>
      <c r="E76" s="97" t="s">
        <v>43</v>
      </c>
      <c r="F76" s="104" t="s">
        <v>48</v>
      </c>
      <c r="G76" s="48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4">
        <f t="shared" si="4"/>
        <v>0</v>
      </c>
      <c r="AJ76" s="4">
        <f t="shared" si="5"/>
        <v>0</v>
      </c>
      <c r="AK76" s="4">
        <f t="shared" si="6"/>
        <v>0</v>
      </c>
    </row>
    <row r="77" spans="1:37" x14ac:dyDescent="0.35">
      <c r="A77" s="5">
        <v>73</v>
      </c>
      <c r="B77" s="18" t="s">
        <v>112</v>
      </c>
      <c r="C77" s="17" t="s">
        <v>5</v>
      </c>
      <c r="D77" s="97" t="s">
        <v>53</v>
      </c>
      <c r="E77" s="97" t="s">
        <v>43</v>
      </c>
      <c r="F77" s="104" t="s">
        <v>48</v>
      </c>
      <c r="G77" s="48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4">
        <f t="shared" si="4"/>
        <v>0</v>
      </c>
      <c r="AJ77" s="4">
        <f t="shared" si="5"/>
        <v>0</v>
      </c>
      <c r="AK77" s="4">
        <f t="shared" si="6"/>
        <v>0</v>
      </c>
    </row>
    <row r="78" spans="1:37" x14ac:dyDescent="0.35">
      <c r="A78" s="5">
        <v>74</v>
      </c>
      <c r="B78" s="18" t="s">
        <v>113</v>
      </c>
      <c r="C78" s="17" t="s">
        <v>5</v>
      </c>
      <c r="D78" s="97" t="s">
        <v>53</v>
      </c>
      <c r="E78" s="97" t="s">
        <v>45</v>
      </c>
      <c r="F78" s="104" t="s">
        <v>48</v>
      </c>
      <c r="G78" s="48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4">
        <f t="shared" si="4"/>
        <v>0</v>
      </c>
      <c r="AJ78" s="4">
        <f t="shared" si="5"/>
        <v>0</v>
      </c>
      <c r="AK78" s="4">
        <f t="shared" si="6"/>
        <v>0</v>
      </c>
    </row>
    <row r="79" spans="1:37" x14ac:dyDescent="0.35">
      <c r="A79" s="5">
        <v>75</v>
      </c>
      <c r="B79" s="18" t="s">
        <v>22</v>
      </c>
      <c r="C79" s="17" t="s">
        <v>5</v>
      </c>
      <c r="D79" s="97" t="s">
        <v>53</v>
      </c>
      <c r="E79" s="97" t="s">
        <v>45</v>
      </c>
      <c r="F79" s="104" t="s">
        <v>48</v>
      </c>
      <c r="G79" s="48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4">
        <f t="shared" si="4"/>
        <v>0</v>
      </c>
      <c r="AJ79" s="4">
        <f t="shared" si="5"/>
        <v>0</v>
      </c>
      <c r="AK79" s="4">
        <f t="shared" si="6"/>
        <v>0</v>
      </c>
    </row>
    <row r="80" spans="1:37" x14ac:dyDescent="0.35">
      <c r="A80" s="5">
        <v>76</v>
      </c>
      <c r="B80" s="18" t="s">
        <v>114</v>
      </c>
      <c r="C80" s="17" t="s">
        <v>5</v>
      </c>
      <c r="D80" s="97" t="s">
        <v>53</v>
      </c>
      <c r="E80" s="97" t="s">
        <v>45</v>
      </c>
      <c r="F80" s="104" t="s">
        <v>48</v>
      </c>
      <c r="G80" s="48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4">
        <f t="shared" si="4"/>
        <v>0</v>
      </c>
      <c r="AJ80" s="4">
        <f t="shared" si="5"/>
        <v>0</v>
      </c>
      <c r="AK80" s="4">
        <f t="shared" si="6"/>
        <v>0</v>
      </c>
    </row>
    <row r="81" spans="1:37" x14ac:dyDescent="0.35">
      <c r="A81" s="5">
        <v>77</v>
      </c>
      <c r="B81" s="17" t="s">
        <v>115</v>
      </c>
      <c r="C81" s="17" t="s">
        <v>5</v>
      </c>
      <c r="D81" s="97" t="s">
        <v>53</v>
      </c>
      <c r="E81" s="97" t="s">
        <v>45</v>
      </c>
      <c r="F81" s="104" t="s">
        <v>48</v>
      </c>
      <c r="G81" s="48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4">
        <f t="shared" si="4"/>
        <v>0</v>
      </c>
      <c r="AJ81" s="4">
        <f t="shared" si="5"/>
        <v>0</v>
      </c>
      <c r="AK81" s="4">
        <f t="shared" si="6"/>
        <v>0</v>
      </c>
    </row>
    <row r="82" spans="1:37" x14ac:dyDescent="0.35">
      <c r="A82" s="5">
        <v>78</v>
      </c>
      <c r="B82" s="17" t="s">
        <v>130</v>
      </c>
      <c r="C82" s="17" t="s">
        <v>5</v>
      </c>
      <c r="D82" s="97" t="s">
        <v>53</v>
      </c>
      <c r="E82" s="97" t="s">
        <v>45</v>
      </c>
      <c r="F82" s="104" t="s">
        <v>48</v>
      </c>
      <c r="G82" s="48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4">
        <f t="shared" si="4"/>
        <v>0</v>
      </c>
      <c r="AJ82" s="4">
        <f t="shared" si="5"/>
        <v>0</v>
      </c>
      <c r="AK82" s="4">
        <f t="shared" si="6"/>
        <v>0</v>
      </c>
    </row>
    <row r="83" spans="1:37" x14ac:dyDescent="0.35">
      <c r="A83" s="5">
        <v>79</v>
      </c>
      <c r="B83" s="17" t="s">
        <v>116</v>
      </c>
      <c r="C83" s="17" t="s">
        <v>5</v>
      </c>
      <c r="D83" s="97" t="s">
        <v>53</v>
      </c>
      <c r="E83" s="97" t="s">
        <v>43</v>
      </c>
      <c r="F83" s="104" t="s">
        <v>48</v>
      </c>
      <c r="G83" s="48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4">
        <f t="shared" si="4"/>
        <v>0</v>
      </c>
      <c r="AJ83" s="4">
        <f t="shared" si="5"/>
        <v>0</v>
      </c>
      <c r="AK83" s="4">
        <f t="shared" si="6"/>
        <v>0</v>
      </c>
    </row>
    <row r="84" spans="1:37" x14ac:dyDescent="0.35">
      <c r="A84" s="5">
        <v>80</v>
      </c>
      <c r="B84" s="17" t="s">
        <v>188</v>
      </c>
      <c r="C84" s="17" t="s">
        <v>6</v>
      </c>
      <c r="D84" s="97" t="s">
        <v>53</v>
      </c>
      <c r="E84" s="97" t="s">
        <v>43</v>
      </c>
      <c r="F84" s="104" t="s">
        <v>169</v>
      </c>
      <c r="G84" s="48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4">
        <f t="shared" si="4"/>
        <v>0</v>
      </c>
      <c r="AJ84" s="4">
        <f t="shared" si="5"/>
        <v>0</v>
      </c>
      <c r="AK84" s="4">
        <f t="shared" si="6"/>
        <v>0</v>
      </c>
    </row>
    <row r="85" spans="1:37" x14ac:dyDescent="0.35">
      <c r="A85" s="5">
        <v>81</v>
      </c>
      <c r="B85" s="17" t="s">
        <v>117</v>
      </c>
      <c r="C85" s="17" t="s">
        <v>6</v>
      </c>
      <c r="D85" s="97" t="s">
        <v>53</v>
      </c>
      <c r="E85" s="97" t="s">
        <v>43</v>
      </c>
      <c r="F85" s="104" t="s">
        <v>48</v>
      </c>
      <c r="G85" s="48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4">
        <f t="shared" si="4"/>
        <v>0</v>
      </c>
      <c r="AJ85" s="4">
        <f t="shared" si="5"/>
        <v>0</v>
      </c>
      <c r="AK85" s="4">
        <f t="shared" si="6"/>
        <v>0</v>
      </c>
    </row>
    <row r="86" spans="1:37" x14ac:dyDescent="0.35">
      <c r="A86" s="5">
        <v>82</v>
      </c>
      <c r="B86" s="17" t="s">
        <v>24</v>
      </c>
      <c r="C86" s="17" t="s">
        <v>6</v>
      </c>
      <c r="D86" s="97" t="s">
        <v>53</v>
      </c>
      <c r="E86" s="97" t="s">
        <v>43</v>
      </c>
      <c r="F86" s="104" t="s">
        <v>48</v>
      </c>
      <c r="G86" s="48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4">
        <f t="shared" si="4"/>
        <v>0</v>
      </c>
      <c r="AJ86" s="4">
        <f t="shared" si="5"/>
        <v>0</v>
      </c>
      <c r="AK86" s="4">
        <f t="shared" si="6"/>
        <v>0</v>
      </c>
    </row>
    <row r="87" spans="1:37" x14ac:dyDescent="0.35">
      <c r="A87" s="5">
        <v>83</v>
      </c>
      <c r="B87" s="17" t="s">
        <v>189</v>
      </c>
      <c r="C87" s="17" t="s">
        <v>190</v>
      </c>
      <c r="D87" s="97" t="s">
        <v>42</v>
      </c>
      <c r="E87" s="97" t="s">
        <v>43</v>
      </c>
      <c r="F87" s="104" t="s">
        <v>169</v>
      </c>
      <c r="G87" s="48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4">
        <f t="shared" si="4"/>
        <v>0</v>
      </c>
      <c r="AJ87" s="4">
        <f t="shared" si="5"/>
        <v>0</v>
      </c>
      <c r="AK87" s="4">
        <f t="shared" si="6"/>
        <v>0</v>
      </c>
    </row>
    <row r="88" spans="1:37" x14ac:dyDescent="0.35">
      <c r="A88" s="5">
        <v>84</v>
      </c>
      <c r="B88" s="17" t="s">
        <v>19</v>
      </c>
      <c r="C88" s="17" t="s">
        <v>119</v>
      </c>
      <c r="D88" s="97" t="s">
        <v>53</v>
      </c>
      <c r="E88" s="97" t="s">
        <v>45</v>
      </c>
      <c r="F88" s="104" t="s">
        <v>48</v>
      </c>
      <c r="G88" s="48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4">
        <f t="shared" si="4"/>
        <v>0</v>
      </c>
      <c r="AJ88" s="4">
        <f t="shared" si="5"/>
        <v>0</v>
      </c>
      <c r="AK88" s="4">
        <f t="shared" si="6"/>
        <v>0</v>
      </c>
    </row>
    <row r="89" spans="1:37" x14ac:dyDescent="0.35">
      <c r="A89" s="5">
        <v>85</v>
      </c>
      <c r="B89" s="17" t="s">
        <v>15</v>
      </c>
      <c r="C89" s="17" t="s">
        <v>119</v>
      </c>
      <c r="D89" s="97" t="s">
        <v>42</v>
      </c>
      <c r="E89" s="97" t="s">
        <v>45</v>
      </c>
      <c r="F89" s="104" t="s">
        <v>48</v>
      </c>
      <c r="G89" s="48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4">
        <f t="shared" si="4"/>
        <v>0</v>
      </c>
      <c r="AJ89" s="4">
        <f t="shared" si="5"/>
        <v>0</v>
      </c>
      <c r="AK89" s="4">
        <f t="shared" si="6"/>
        <v>0</v>
      </c>
    </row>
    <row r="90" spans="1:37" x14ac:dyDescent="0.35">
      <c r="A90" s="5">
        <v>86</v>
      </c>
      <c r="B90" s="17" t="s">
        <v>31</v>
      </c>
      <c r="C90" s="17" t="s">
        <v>119</v>
      </c>
      <c r="D90" s="97" t="s">
        <v>53</v>
      </c>
      <c r="E90" s="97" t="s">
        <v>45</v>
      </c>
      <c r="F90" s="104" t="s">
        <v>48</v>
      </c>
      <c r="G90" s="114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4">
        <f t="shared" si="4"/>
        <v>0</v>
      </c>
      <c r="AJ90" s="4">
        <f t="shared" si="5"/>
        <v>0</v>
      </c>
      <c r="AK90" s="4">
        <f t="shared" si="6"/>
        <v>0</v>
      </c>
    </row>
    <row r="91" spans="1:37" x14ac:dyDescent="0.35">
      <c r="A91" s="5">
        <v>87</v>
      </c>
      <c r="B91" s="17" t="s">
        <v>129</v>
      </c>
      <c r="C91" s="17" t="s">
        <v>119</v>
      </c>
      <c r="D91" s="97" t="s">
        <v>53</v>
      </c>
      <c r="E91" s="97" t="s">
        <v>45</v>
      </c>
      <c r="F91" s="104" t="s">
        <v>48</v>
      </c>
      <c r="G91" s="114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4">
        <f t="shared" ref="AI91:AI121" si="7">COUNTIF(G91:AH91,"SL")</f>
        <v>0</v>
      </c>
      <c r="AJ91" s="4">
        <f t="shared" ref="AJ91:AJ121" si="8">COUNTIF(G91:AH91,"WL")</f>
        <v>0</v>
      </c>
      <c r="AK91" s="4">
        <f t="shared" ref="AK91:AK121" si="9">COUNTIF(G91:AH91,"Absent")</f>
        <v>0</v>
      </c>
    </row>
    <row r="92" spans="1:37" x14ac:dyDescent="0.35">
      <c r="A92" s="5">
        <v>88</v>
      </c>
      <c r="B92" s="17" t="s">
        <v>28</v>
      </c>
      <c r="C92" s="17" t="s">
        <v>119</v>
      </c>
      <c r="D92" s="97" t="s">
        <v>42</v>
      </c>
      <c r="E92" s="97" t="s">
        <v>45</v>
      </c>
      <c r="F92" s="104" t="s">
        <v>48</v>
      </c>
      <c r="G92" s="114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4">
        <f t="shared" si="7"/>
        <v>0</v>
      </c>
      <c r="AJ92" s="4">
        <f t="shared" si="8"/>
        <v>0</v>
      </c>
      <c r="AK92" s="4">
        <f t="shared" si="9"/>
        <v>0</v>
      </c>
    </row>
    <row r="93" spans="1:37" x14ac:dyDescent="0.35">
      <c r="A93" s="5">
        <v>89</v>
      </c>
      <c r="B93" s="17" t="s">
        <v>191</v>
      </c>
      <c r="C93" s="17" t="s">
        <v>119</v>
      </c>
      <c r="D93" s="97" t="s">
        <v>53</v>
      </c>
      <c r="E93" s="97" t="s">
        <v>45</v>
      </c>
      <c r="F93" s="104" t="s">
        <v>48</v>
      </c>
      <c r="G93" s="114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4">
        <f t="shared" si="7"/>
        <v>0</v>
      </c>
      <c r="AJ93" s="4">
        <f t="shared" si="8"/>
        <v>0</v>
      </c>
      <c r="AK93" s="4">
        <f t="shared" si="9"/>
        <v>0</v>
      </c>
    </row>
    <row r="94" spans="1:37" x14ac:dyDescent="0.35">
      <c r="A94" s="5">
        <v>90</v>
      </c>
      <c r="B94" s="17" t="s">
        <v>25</v>
      </c>
      <c r="C94" s="17" t="s">
        <v>119</v>
      </c>
      <c r="D94" s="97" t="s">
        <v>53</v>
      </c>
      <c r="E94" s="97" t="s">
        <v>45</v>
      </c>
      <c r="F94" s="104" t="s">
        <v>48</v>
      </c>
      <c r="G94" s="114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4">
        <f t="shared" si="7"/>
        <v>0</v>
      </c>
      <c r="AJ94" s="4">
        <f t="shared" si="8"/>
        <v>0</v>
      </c>
      <c r="AK94" s="4">
        <f t="shared" si="9"/>
        <v>0</v>
      </c>
    </row>
    <row r="95" spans="1:37" x14ac:dyDescent="0.35">
      <c r="A95" s="5">
        <v>91</v>
      </c>
      <c r="B95" s="17" t="s">
        <v>21</v>
      </c>
      <c r="C95" s="17" t="s">
        <v>120</v>
      </c>
      <c r="D95" s="97" t="s">
        <v>42</v>
      </c>
      <c r="E95" s="97" t="s">
        <v>45</v>
      </c>
      <c r="F95" s="104" t="s">
        <v>48</v>
      </c>
      <c r="G95" s="114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4">
        <f t="shared" si="7"/>
        <v>0</v>
      </c>
      <c r="AJ95" s="4">
        <f t="shared" si="8"/>
        <v>0</v>
      </c>
      <c r="AK95" s="4">
        <f t="shared" si="9"/>
        <v>0</v>
      </c>
    </row>
    <row r="96" spans="1:37" x14ac:dyDescent="0.35">
      <c r="A96" s="5">
        <v>92</v>
      </c>
      <c r="B96" s="18" t="s">
        <v>121</v>
      </c>
      <c r="C96" s="17" t="s">
        <v>120</v>
      </c>
      <c r="D96" s="97" t="s">
        <v>42</v>
      </c>
      <c r="E96" s="97" t="s">
        <v>45</v>
      </c>
      <c r="F96" s="104" t="s">
        <v>48</v>
      </c>
      <c r="G96" s="114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4">
        <f t="shared" si="7"/>
        <v>0</v>
      </c>
      <c r="AJ96" s="4">
        <f t="shared" si="8"/>
        <v>0</v>
      </c>
      <c r="AK96" s="4">
        <f t="shared" si="9"/>
        <v>0</v>
      </c>
    </row>
    <row r="97" spans="1:37" x14ac:dyDescent="0.35">
      <c r="A97" s="5">
        <v>93</v>
      </c>
      <c r="B97" s="17" t="s">
        <v>122</v>
      </c>
      <c r="C97" s="17" t="s">
        <v>120</v>
      </c>
      <c r="D97" s="97" t="s">
        <v>70</v>
      </c>
      <c r="E97" s="97" t="s">
        <v>45</v>
      </c>
      <c r="F97" s="104" t="s">
        <v>48</v>
      </c>
      <c r="G97" s="114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4">
        <f t="shared" si="7"/>
        <v>0</v>
      </c>
      <c r="AJ97" s="4">
        <f t="shared" si="8"/>
        <v>0</v>
      </c>
      <c r="AK97" s="4">
        <f t="shared" si="9"/>
        <v>0</v>
      </c>
    </row>
    <row r="98" spans="1:37" x14ac:dyDescent="0.35">
      <c r="A98" s="5">
        <v>94</v>
      </c>
      <c r="B98" s="17" t="s">
        <v>11</v>
      </c>
      <c r="C98" s="17" t="s">
        <v>120</v>
      </c>
      <c r="D98" s="97" t="s">
        <v>53</v>
      </c>
      <c r="E98" s="97" t="s">
        <v>45</v>
      </c>
      <c r="F98" s="104" t="s">
        <v>48</v>
      </c>
      <c r="G98" s="114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4">
        <f t="shared" si="7"/>
        <v>0</v>
      </c>
      <c r="AJ98" s="4">
        <f t="shared" si="8"/>
        <v>0</v>
      </c>
      <c r="AK98" s="4">
        <f t="shared" si="9"/>
        <v>0</v>
      </c>
    </row>
    <row r="99" spans="1:37" x14ac:dyDescent="0.35">
      <c r="A99" s="5">
        <v>95</v>
      </c>
      <c r="B99" s="17" t="s">
        <v>23</v>
      </c>
      <c r="C99" s="17" t="s">
        <v>7</v>
      </c>
      <c r="D99" s="97" t="s">
        <v>42</v>
      </c>
      <c r="E99" s="97" t="s">
        <v>45</v>
      </c>
      <c r="F99" s="104" t="s">
        <v>48</v>
      </c>
      <c r="G99" s="114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4">
        <f t="shared" si="7"/>
        <v>0</v>
      </c>
      <c r="AJ99" s="4">
        <f t="shared" si="8"/>
        <v>0</v>
      </c>
      <c r="AK99" s="4">
        <f t="shared" si="9"/>
        <v>0</v>
      </c>
    </row>
    <row r="100" spans="1:37" x14ac:dyDescent="0.35">
      <c r="A100" s="5">
        <v>96</v>
      </c>
      <c r="B100" s="18" t="s">
        <v>123</v>
      </c>
      <c r="C100" s="19" t="s">
        <v>7</v>
      </c>
      <c r="D100" s="109" t="s">
        <v>53</v>
      </c>
      <c r="E100" s="97" t="s">
        <v>43</v>
      </c>
      <c r="F100" s="104" t="s">
        <v>48</v>
      </c>
      <c r="G100" s="114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4">
        <f t="shared" si="7"/>
        <v>0</v>
      </c>
      <c r="AJ100" s="4">
        <f t="shared" si="8"/>
        <v>0</v>
      </c>
      <c r="AK100" s="4">
        <f t="shared" si="9"/>
        <v>0</v>
      </c>
    </row>
    <row r="101" spans="1:37" x14ac:dyDescent="0.35">
      <c r="A101" s="5">
        <v>97</v>
      </c>
      <c r="B101" s="17" t="s">
        <v>192</v>
      </c>
      <c r="C101" s="17" t="s">
        <v>83</v>
      </c>
      <c r="D101" s="97" t="s">
        <v>42</v>
      </c>
      <c r="E101" s="97" t="s">
        <v>43</v>
      </c>
      <c r="F101" s="104" t="s">
        <v>169</v>
      </c>
      <c r="G101" s="114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4">
        <f t="shared" si="7"/>
        <v>0</v>
      </c>
      <c r="AJ101" s="4">
        <f t="shared" si="8"/>
        <v>0</v>
      </c>
      <c r="AK101" s="4">
        <f t="shared" si="9"/>
        <v>0</v>
      </c>
    </row>
    <row r="102" spans="1:37" x14ac:dyDescent="0.35">
      <c r="A102" s="5">
        <v>98</v>
      </c>
      <c r="B102" s="17" t="s">
        <v>193</v>
      </c>
      <c r="C102" s="17" t="s">
        <v>83</v>
      </c>
      <c r="D102" s="97" t="s">
        <v>42</v>
      </c>
      <c r="E102" s="97" t="s">
        <v>43</v>
      </c>
      <c r="F102" s="104" t="s">
        <v>169</v>
      </c>
      <c r="G102" s="114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4">
        <f t="shared" si="7"/>
        <v>0</v>
      </c>
      <c r="AJ102" s="4">
        <f t="shared" si="8"/>
        <v>0</v>
      </c>
      <c r="AK102" s="4">
        <f t="shared" si="9"/>
        <v>0</v>
      </c>
    </row>
    <row r="103" spans="1:37" x14ac:dyDescent="0.35">
      <c r="A103" s="5">
        <v>99</v>
      </c>
      <c r="B103" s="17" t="s">
        <v>114</v>
      </c>
      <c r="C103" s="17" t="s">
        <v>83</v>
      </c>
      <c r="D103" s="97" t="s">
        <v>124</v>
      </c>
      <c r="E103" s="97" t="s">
        <v>45</v>
      </c>
      <c r="F103" s="104" t="s">
        <v>169</v>
      </c>
      <c r="G103" s="114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4">
        <f t="shared" si="7"/>
        <v>0</v>
      </c>
      <c r="AJ103" s="4">
        <f t="shared" si="8"/>
        <v>0</v>
      </c>
      <c r="AK103" s="4">
        <f t="shared" si="9"/>
        <v>0</v>
      </c>
    </row>
    <row r="104" spans="1:37" x14ac:dyDescent="0.35">
      <c r="A104" s="5">
        <v>100</v>
      </c>
      <c r="B104" s="17" t="s">
        <v>194</v>
      </c>
      <c r="C104" s="17" t="s">
        <v>83</v>
      </c>
      <c r="D104" s="97" t="s">
        <v>42</v>
      </c>
      <c r="E104" s="97" t="s">
        <v>43</v>
      </c>
      <c r="F104" s="104" t="s">
        <v>169</v>
      </c>
      <c r="G104" s="114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4">
        <f t="shared" si="7"/>
        <v>0</v>
      </c>
      <c r="AJ104" s="4">
        <f t="shared" si="8"/>
        <v>0</v>
      </c>
      <c r="AK104" s="4">
        <f t="shared" si="9"/>
        <v>0</v>
      </c>
    </row>
    <row r="105" spans="1:37" x14ac:dyDescent="0.35">
      <c r="A105" s="5">
        <v>101</v>
      </c>
      <c r="B105" s="17" t="s">
        <v>195</v>
      </c>
      <c r="C105" s="17" t="s">
        <v>83</v>
      </c>
      <c r="D105" s="97" t="s">
        <v>42</v>
      </c>
      <c r="E105" s="97" t="s">
        <v>43</v>
      </c>
      <c r="F105" s="104" t="s">
        <v>169</v>
      </c>
      <c r="G105" s="114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4">
        <f t="shared" si="7"/>
        <v>0</v>
      </c>
      <c r="AJ105" s="4">
        <f t="shared" si="8"/>
        <v>0</v>
      </c>
      <c r="AK105" s="4">
        <f t="shared" si="9"/>
        <v>0</v>
      </c>
    </row>
    <row r="106" spans="1:37" x14ac:dyDescent="0.35">
      <c r="A106" s="5">
        <v>102</v>
      </c>
      <c r="B106" s="19" t="s">
        <v>35</v>
      </c>
      <c r="C106" s="19" t="s">
        <v>83</v>
      </c>
      <c r="D106" s="109" t="s">
        <v>42</v>
      </c>
      <c r="E106" s="109" t="s">
        <v>43</v>
      </c>
      <c r="F106" s="109" t="s">
        <v>48</v>
      </c>
      <c r="G106" s="114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4">
        <f t="shared" si="7"/>
        <v>0</v>
      </c>
      <c r="AJ106" s="4">
        <f t="shared" si="8"/>
        <v>0</v>
      </c>
      <c r="AK106" s="4">
        <f t="shared" si="9"/>
        <v>0</v>
      </c>
    </row>
    <row r="107" spans="1:37" x14ac:dyDescent="0.35">
      <c r="A107" s="5">
        <v>103</v>
      </c>
      <c r="B107" s="17" t="s">
        <v>196</v>
      </c>
      <c r="C107" s="17" t="s">
        <v>197</v>
      </c>
      <c r="D107" s="97" t="s">
        <v>42</v>
      </c>
      <c r="E107" s="97" t="s">
        <v>43</v>
      </c>
      <c r="F107" s="104" t="s">
        <v>169</v>
      </c>
      <c r="G107" s="114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4">
        <f t="shared" si="7"/>
        <v>0</v>
      </c>
      <c r="AJ107" s="4">
        <f t="shared" si="8"/>
        <v>0</v>
      </c>
      <c r="AK107" s="4">
        <f t="shared" si="9"/>
        <v>0</v>
      </c>
    </row>
    <row r="108" spans="1:37" x14ac:dyDescent="0.35">
      <c r="A108" s="5">
        <v>104</v>
      </c>
      <c r="B108" s="18" t="s">
        <v>198</v>
      </c>
      <c r="C108" s="17" t="s">
        <v>197</v>
      </c>
      <c r="D108" s="97" t="s">
        <v>53</v>
      </c>
      <c r="E108" s="97" t="s">
        <v>43</v>
      </c>
      <c r="F108" s="104" t="s">
        <v>169</v>
      </c>
      <c r="G108" s="114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4">
        <f t="shared" si="7"/>
        <v>0</v>
      </c>
      <c r="AJ108" s="4">
        <f t="shared" si="8"/>
        <v>0</v>
      </c>
      <c r="AK108" s="4">
        <f t="shared" si="9"/>
        <v>0</v>
      </c>
    </row>
    <row r="109" spans="1:37" x14ac:dyDescent="0.35">
      <c r="A109" s="5">
        <v>105</v>
      </c>
      <c r="B109" s="17" t="s">
        <v>199</v>
      </c>
      <c r="C109" s="17" t="s">
        <v>200</v>
      </c>
      <c r="D109" s="97" t="s">
        <v>53</v>
      </c>
      <c r="E109" s="97" t="s">
        <v>43</v>
      </c>
      <c r="F109" s="104" t="s">
        <v>169</v>
      </c>
      <c r="G109" s="114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4">
        <f t="shared" si="7"/>
        <v>0</v>
      </c>
      <c r="AJ109" s="4">
        <f t="shared" si="8"/>
        <v>0</v>
      </c>
      <c r="AK109" s="4">
        <f t="shared" si="9"/>
        <v>0</v>
      </c>
    </row>
    <row r="110" spans="1:37" x14ac:dyDescent="0.35">
      <c r="A110" s="5">
        <v>106</v>
      </c>
      <c r="B110" s="18" t="s">
        <v>20</v>
      </c>
      <c r="C110" s="115" t="s">
        <v>125</v>
      </c>
      <c r="D110" s="106" t="s">
        <v>126</v>
      </c>
      <c r="E110" s="97" t="s">
        <v>45</v>
      </c>
      <c r="F110" s="104" t="s">
        <v>48</v>
      </c>
      <c r="G110" s="114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4">
        <f t="shared" si="7"/>
        <v>0</v>
      </c>
      <c r="AJ110" s="4">
        <f t="shared" si="8"/>
        <v>0</v>
      </c>
      <c r="AK110" s="4">
        <f t="shared" si="9"/>
        <v>0</v>
      </c>
    </row>
    <row r="111" spans="1:37" x14ac:dyDescent="0.35">
      <c r="A111" s="5">
        <v>107</v>
      </c>
      <c r="B111" s="17" t="s">
        <v>201</v>
      </c>
      <c r="C111" s="17" t="s">
        <v>202</v>
      </c>
      <c r="D111" s="106" t="s">
        <v>42</v>
      </c>
      <c r="E111" s="97" t="s">
        <v>43</v>
      </c>
      <c r="F111" s="104" t="s">
        <v>169</v>
      </c>
      <c r="G111" s="114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4">
        <f t="shared" si="7"/>
        <v>0</v>
      </c>
      <c r="AJ111" s="4">
        <f t="shared" si="8"/>
        <v>0</v>
      </c>
      <c r="AK111" s="4">
        <f t="shared" si="9"/>
        <v>0</v>
      </c>
    </row>
    <row r="112" spans="1:37" x14ac:dyDescent="0.35">
      <c r="A112" s="5">
        <v>108</v>
      </c>
      <c r="B112" s="17" t="s">
        <v>203</v>
      </c>
      <c r="C112" s="17" t="s">
        <v>202</v>
      </c>
      <c r="D112" s="106" t="s">
        <v>42</v>
      </c>
      <c r="E112" s="97" t="s">
        <v>43</v>
      </c>
      <c r="F112" s="104" t="s">
        <v>169</v>
      </c>
      <c r="G112" s="114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4">
        <f t="shared" si="7"/>
        <v>0</v>
      </c>
      <c r="AJ112" s="4">
        <f t="shared" si="8"/>
        <v>0</v>
      </c>
      <c r="AK112" s="4">
        <f t="shared" si="9"/>
        <v>0</v>
      </c>
    </row>
    <row r="113" spans="1:37" x14ac:dyDescent="0.35">
      <c r="A113" s="5">
        <v>109</v>
      </c>
      <c r="B113" s="17" t="s">
        <v>204</v>
      </c>
      <c r="C113" s="17" t="s">
        <v>200</v>
      </c>
      <c r="D113" s="97" t="s">
        <v>42</v>
      </c>
      <c r="E113" s="97" t="s">
        <v>45</v>
      </c>
      <c r="F113" s="104" t="s">
        <v>169</v>
      </c>
      <c r="G113" s="114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4">
        <f t="shared" si="7"/>
        <v>0</v>
      </c>
      <c r="AJ113" s="4">
        <f t="shared" si="8"/>
        <v>0</v>
      </c>
      <c r="AK113" s="4">
        <f t="shared" si="9"/>
        <v>0</v>
      </c>
    </row>
    <row r="114" spans="1:37" x14ac:dyDescent="0.35">
      <c r="A114" s="5">
        <v>110</v>
      </c>
      <c r="B114" s="17" t="s">
        <v>205</v>
      </c>
      <c r="C114" s="17" t="s">
        <v>200</v>
      </c>
      <c r="D114" s="97" t="s">
        <v>53</v>
      </c>
      <c r="E114" s="97" t="s">
        <v>45</v>
      </c>
      <c r="F114" s="104" t="s">
        <v>169</v>
      </c>
      <c r="G114" s="114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4">
        <f t="shared" si="7"/>
        <v>0</v>
      </c>
      <c r="AJ114" s="4">
        <f t="shared" si="8"/>
        <v>0</v>
      </c>
      <c r="AK114" s="4">
        <f t="shared" si="9"/>
        <v>0</v>
      </c>
    </row>
    <row r="115" spans="1:37" x14ac:dyDescent="0.35">
      <c r="A115" s="5">
        <v>111</v>
      </c>
      <c r="B115" s="17" t="s">
        <v>206</v>
      </c>
      <c r="C115" s="17" t="s">
        <v>200</v>
      </c>
      <c r="D115" s="97" t="s">
        <v>53</v>
      </c>
      <c r="E115" s="97" t="s">
        <v>45</v>
      </c>
      <c r="F115" s="104" t="s">
        <v>169</v>
      </c>
      <c r="G115" s="114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4">
        <f t="shared" si="7"/>
        <v>0</v>
      </c>
      <c r="AJ115" s="4">
        <f t="shared" si="8"/>
        <v>0</v>
      </c>
      <c r="AK115" s="4">
        <f t="shared" si="9"/>
        <v>0</v>
      </c>
    </row>
    <row r="116" spans="1:37" x14ac:dyDescent="0.35">
      <c r="A116" s="5">
        <v>112</v>
      </c>
      <c r="B116" s="17" t="s">
        <v>207</v>
      </c>
      <c r="C116" s="17" t="s">
        <v>200</v>
      </c>
      <c r="D116" s="97" t="s">
        <v>53</v>
      </c>
      <c r="E116" s="97" t="s">
        <v>43</v>
      </c>
      <c r="F116" s="104" t="s">
        <v>169</v>
      </c>
      <c r="G116" s="114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4">
        <f t="shared" si="7"/>
        <v>0</v>
      </c>
      <c r="AJ116" s="4">
        <f t="shared" si="8"/>
        <v>0</v>
      </c>
      <c r="AK116" s="4">
        <f t="shared" si="9"/>
        <v>0</v>
      </c>
    </row>
    <row r="117" spans="1:37" x14ac:dyDescent="0.35">
      <c r="A117" s="5">
        <v>113</v>
      </c>
      <c r="B117" s="17" t="s">
        <v>208</v>
      </c>
      <c r="C117" s="17" t="s">
        <v>200</v>
      </c>
      <c r="D117" s="97" t="s">
        <v>42</v>
      </c>
      <c r="E117" s="97" t="s">
        <v>43</v>
      </c>
      <c r="F117" s="104" t="s">
        <v>169</v>
      </c>
      <c r="G117" s="114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4">
        <f t="shared" si="7"/>
        <v>0</v>
      </c>
      <c r="AJ117" s="4">
        <f t="shared" si="8"/>
        <v>0</v>
      </c>
      <c r="AK117" s="4">
        <f t="shared" si="9"/>
        <v>0</v>
      </c>
    </row>
    <row r="118" spans="1:37" x14ac:dyDescent="0.35">
      <c r="A118" s="5">
        <v>114</v>
      </c>
      <c r="B118" s="17" t="s">
        <v>209</v>
      </c>
      <c r="C118" s="18"/>
      <c r="D118" s="106" t="s">
        <v>42</v>
      </c>
      <c r="E118" s="97" t="s">
        <v>43</v>
      </c>
      <c r="F118" s="104" t="s">
        <v>169</v>
      </c>
      <c r="G118" s="114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4">
        <f t="shared" si="7"/>
        <v>0</v>
      </c>
      <c r="AJ118" s="4">
        <f t="shared" si="8"/>
        <v>0</v>
      </c>
      <c r="AK118" s="4">
        <f t="shared" si="9"/>
        <v>0</v>
      </c>
    </row>
    <row r="119" spans="1:37" x14ac:dyDescent="0.35">
      <c r="A119" s="5">
        <v>115</v>
      </c>
      <c r="B119" s="17" t="s">
        <v>210</v>
      </c>
      <c r="C119" s="17" t="s">
        <v>211</v>
      </c>
      <c r="D119" s="97" t="s">
        <v>42</v>
      </c>
      <c r="E119" s="97" t="s">
        <v>43</v>
      </c>
      <c r="F119" s="104" t="s">
        <v>169</v>
      </c>
      <c r="G119" s="114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4">
        <f t="shared" si="7"/>
        <v>0</v>
      </c>
      <c r="AJ119" s="4">
        <f t="shared" si="8"/>
        <v>0</v>
      </c>
      <c r="AK119" s="4">
        <f t="shared" si="9"/>
        <v>0</v>
      </c>
    </row>
    <row r="120" spans="1:37" x14ac:dyDescent="0.35">
      <c r="A120" s="5">
        <v>116</v>
      </c>
      <c r="B120" s="18" t="s">
        <v>212</v>
      </c>
      <c r="C120" s="18" t="s">
        <v>213</v>
      </c>
      <c r="D120" s="97" t="s">
        <v>42</v>
      </c>
      <c r="E120" s="97" t="s">
        <v>45</v>
      </c>
      <c r="F120" s="104" t="s">
        <v>169</v>
      </c>
      <c r="G120" s="114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4">
        <f t="shared" si="7"/>
        <v>0</v>
      </c>
      <c r="AJ120" s="4">
        <f t="shared" si="8"/>
        <v>0</v>
      </c>
      <c r="AK120" s="4">
        <f t="shared" si="9"/>
        <v>0</v>
      </c>
    </row>
    <row r="121" spans="1:37" x14ac:dyDescent="0.35">
      <c r="A121" s="5">
        <v>117</v>
      </c>
      <c r="B121" s="18" t="s">
        <v>173</v>
      </c>
      <c r="C121" s="18" t="s">
        <v>213</v>
      </c>
      <c r="D121" s="97" t="s">
        <v>42</v>
      </c>
      <c r="E121" s="97" t="s">
        <v>45</v>
      </c>
      <c r="F121" s="104" t="s">
        <v>169</v>
      </c>
      <c r="G121" s="114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4">
        <f t="shared" si="7"/>
        <v>0</v>
      </c>
      <c r="AJ121" s="4">
        <f t="shared" si="8"/>
        <v>0</v>
      </c>
      <c r="AK121" s="4">
        <f t="shared" si="9"/>
        <v>0</v>
      </c>
    </row>
  </sheetData>
  <autoFilter ref="A1:AH90" xr:uid="{C40F0E3D-F318-4BC3-8DAA-EAC7D8589C7B}"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</autoFilter>
  <mergeCells count="9">
    <mergeCell ref="E3:F4"/>
    <mergeCell ref="A3:A4"/>
    <mergeCell ref="G1:AH2"/>
    <mergeCell ref="F1:F2"/>
    <mergeCell ref="E1:E2"/>
    <mergeCell ref="A1:A2"/>
    <mergeCell ref="B1:B2"/>
    <mergeCell ref="C1:C2"/>
    <mergeCell ref="D1:D2"/>
  </mergeCells>
  <conditionalFormatting sqref="A3 A5:A121">
    <cfRule type="duplicateValues" dxfId="43" priority="1369"/>
    <cfRule type="duplicateValues" dxfId="42" priority="1370"/>
    <cfRule type="duplicateValues" dxfId="41" priority="1371"/>
    <cfRule type="duplicateValues" dxfId="40" priority="1372"/>
    <cfRule type="duplicateValues" dxfId="39" priority="1373"/>
    <cfRule type="duplicateValues" dxfId="38" priority="1374"/>
  </conditionalFormatting>
  <conditionalFormatting sqref="B1">
    <cfRule type="duplicateValues" dxfId="37" priority="10"/>
    <cfRule type="duplicateValues" dxfId="36" priority="11"/>
  </conditionalFormatting>
  <conditionalFormatting sqref="C1">
    <cfRule type="duplicateValues" dxfId="35" priority="14"/>
    <cfRule type="duplicateValues" dxfId="34" priority="15"/>
  </conditionalFormatting>
  <conditionalFormatting sqref="D1:E1">
    <cfRule type="duplicateValues" dxfId="33" priority="16"/>
    <cfRule type="duplicateValues" dxfId="32" priority="17"/>
  </conditionalFormatting>
  <conditionalFormatting sqref="F1">
    <cfRule type="duplicateValues" dxfId="31" priority="12"/>
    <cfRule type="duplicateValues" dxfId="30" priority="13"/>
  </conditionalFormatting>
  <conditionalFormatting sqref="A1">
    <cfRule type="duplicateValues" dxfId="29" priority="1512"/>
    <cfRule type="duplicateValues" dxfId="28" priority="1513"/>
  </conditionalFormatting>
  <conditionalFormatting sqref="C110">
    <cfRule type="duplicateValues" dxfId="27" priority="1"/>
    <cfRule type="duplicateValues" dxfId="26" priority="2"/>
    <cfRule type="duplicateValues" dxfId="25" priority="3"/>
    <cfRule type="duplicateValues" dxfId="24" priority="4"/>
    <cfRule type="duplicateValues" dxfId="23" priority="5"/>
  </conditionalFormatting>
  <dataValidations count="1">
    <dataValidation type="list" allowBlank="1" showInputMessage="1" showErrorMessage="1" sqref="G5:AH121" xr:uid="{606A38D0-B177-45CD-BD12-35795A31A5E8}">
      <formula1>$BD$6:$BD$9</formula1>
    </dataValidation>
  </dataValidations>
  <pageMargins left="0.7" right="0.7" top="0.75" bottom="0.75" header="0.3" footer="0.3"/>
  <pageSetup orientation="portrait" r:id="rId1"/>
  <ignoredErrors>
    <ignoredError sqref="C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B48E5-9B20-4AEC-A746-01121D6286B4}">
  <sheetPr codeName="Sheet3"/>
  <dimension ref="A1:BE122"/>
  <sheetViews>
    <sheetView tabSelected="1" zoomScale="67" zoomScaleNormal="64" workbookViewId="0">
      <selection activeCell="F5" sqref="F5"/>
    </sheetView>
  </sheetViews>
  <sheetFormatPr defaultRowHeight="14.5" x14ac:dyDescent="0.35"/>
  <cols>
    <col min="1" max="1" width="22.6328125" bestFit="1" customWidth="1"/>
    <col min="2" max="2" width="19.36328125" bestFit="1" customWidth="1"/>
    <col min="3" max="3" width="13.90625" bestFit="1" customWidth="1"/>
    <col min="4" max="4" width="19.1796875" bestFit="1" customWidth="1"/>
    <col min="5" max="5" width="19.1796875" customWidth="1"/>
    <col min="6" max="6" width="15.54296875" customWidth="1"/>
    <col min="7" max="7" width="5.08984375" customWidth="1"/>
    <col min="8" max="25" width="6.453125" bestFit="1" customWidth="1"/>
    <col min="26" max="28" width="4.54296875" customWidth="1"/>
    <col min="29" max="30" width="6.453125" bestFit="1" customWidth="1"/>
    <col min="31" max="33" width="4.54296875" customWidth="1"/>
    <col min="34" max="37" width="6.453125" bestFit="1" customWidth="1"/>
    <col min="38" max="39" width="8.81640625" bestFit="1" customWidth="1"/>
    <col min="40" max="40" width="24.26953125" bestFit="1" customWidth="1"/>
  </cols>
  <sheetData>
    <row r="1" spans="1:57" ht="14.5" customHeight="1" x14ac:dyDescent="0.35">
      <c r="A1" s="145" t="s">
        <v>135</v>
      </c>
      <c r="B1" s="145" t="s">
        <v>38</v>
      </c>
      <c r="C1" s="146" t="s">
        <v>0</v>
      </c>
      <c r="D1" s="146" t="s">
        <v>39</v>
      </c>
      <c r="E1" s="146" t="s">
        <v>40</v>
      </c>
      <c r="F1" s="146" t="s">
        <v>41</v>
      </c>
      <c r="G1" s="146" t="s">
        <v>139</v>
      </c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>
        <v>2026</v>
      </c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7" t="s">
        <v>127</v>
      </c>
      <c r="AM1" s="149" t="s">
        <v>155</v>
      </c>
      <c r="AN1" s="152" t="s">
        <v>152</v>
      </c>
    </row>
    <row r="2" spans="1:57" x14ac:dyDescent="0.35">
      <c r="A2" s="145"/>
      <c r="B2" s="145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7"/>
      <c r="AM2" s="150"/>
      <c r="AN2" s="152"/>
    </row>
    <row r="3" spans="1:57" ht="32.5" customHeight="1" thickBot="1" x14ac:dyDescent="0.4">
      <c r="A3" s="148"/>
      <c r="B3" s="148"/>
      <c r="C3" s="148"/>
      <c r="D3" s="148"/>
      <c r="E3" s="148"/>
      <c r="F3" s="148"/>
      <c r="G3" s="75">
        <f t="shared" ref="G3:AK3" si="0">IFERROR(COUNTIF(G6:G99,TRUE)/G4,0)</f>
        <v>0</v>
      </c>
      <c r="H3" s="75">
        <f t="shared" si="0"/>
        <v>0</v>
      </c>
      <c r="I3" s="75">
        <f t="shared" si="0"/>
        <v>0</v>
      </c>
      <c r="J3" s="75">
        <f t="shared" si="0"/>
        <v>0</v>
      </c>
      <c r="K3" s="75">
        <f t="shared" si="0"/>
        <v>0</v>
      </c>
      <c r="L3" s="75">
        <f t="shared" si="0"/>
        <v>0</v>
      </c>
      <c r="M3" s="75">
        <f t="shared" si="0"/>
        <v>0</v>
      </c>
      <c r="N3" s="75">
        <f t="shared" si="0"/>
        <v>0</v>
      </c>
      <c r="O3" s="75">
        <f t="shared" si="0"/>
        <v>0</v>
      </c>
      <c r="P3" s="75">
        <f t="shared" si="0"/>
        <v>0</v>
      </c>
      <c r="Q3" s="75">
        <f t="shared" si="0"/>
        <v>0</v>
      </c>
      <c r="R3" s="75">
        <f t="shared" si="0"/>
        <v>0</v>
      </c>
      <c r="S3" s="75">
        <f t="shared" si="0"/>
        <v>0</v>
      </c>
      <c r="T3" s="75">
        <f t="shared" si="0"/>
        <v>0</v>
      </c>
      <c r="U3" s="75">
        <f t="shared" si="0"/>
        <v>0</v>
      </c>
      <c r="V3" s="75">
        <f t="shared" si="0"/>
        <v>0</v>
      </c>
      <c r="W3" s="75">
        <f t="shared" si="0"/>
        <v>0</v>
      </c>
      <c r="X3" s="75">
        <f t="shared" si="0"/>
        <v>0</v>
      </c>
      <c r="Y3" s="75">
        <f t="shared" si="0"/>
        <v>0</v>
      </c>
      <c r="Z3" s="75">
        <f t="shared" si="0"/>
        <v>0</v>
      </c>
      <c r="AA3" s="75">
        <f t="shared" si="0"/>
        <v>0</v>
      </c>
      <c r="AB3" s="75">
        <f t="shared" si="0"/>
        <v>0</v>
      </c>
      <c r="AC3" s="75">
        <f t="shared" si="0"/>
        <v>0</v>
      </c>
      <c r="AD3" s="75">
        <f t="shared" si="0"/>
        <v>0</v>
      </c>
      <c r="AE3" s="75">
        <f t="shared" si="0"/>
        <v>0</v>
      </c>
      <c r="AF3" s="75">
        <f t="shared" si="0"/>
        <v>0</v>
      </c>
      <c r="AG3" s="75">
        <f t="shared" si="0"/>
        <v>0</v>
      </c>
      <c r="AH3" s="75">
        <f t="shared" si="0"/>
        <v>0</v>
      </c>
      <c r="AI3" s="75">
        <f t="shared" si="0"/>
        <v>0</v>
      </c>
      <c r="AJ3" s="75">
        <f t="shared" si="0"/>
        <v>0</v>
      </c>
      <c r="AK3" s="75">
        <f t="shared" si="0"/>
        <v>0</v>
      </c>
      <c r="AL3" s="147"/>
      <c r="AM3" s="150"/>
      <c r="AN3" s="152"/>
    </row>
    <row r="4" spans="1:57" ht="51" customHeight="1" thickBot="1" x14ac:dyDescent="0.4">
      <c r="A4" s="76" t="s">
        <v>153</v>
      </c>
      <c r="B4" s="77" t="s">
        <v>154</v>
      </c>
      <c r="C4" s="78" t="s">
        <v>155</v>
      </c>
      <c r="D4" s="79" t="s">
        <v>156</v>
      </c>
      <c r="E4" s="80"/>
      <c r="F4" s="81"/>
      <c r="G4" s="82" t="str">
        <f>IF(ISNUMBER(MATCH(G5,'holiday list'!$A:$A,0)),
"",
COUNTIF(G6:G122,FALSE)
)</f>
        <v/>
      </c>
      <c r="H4" s="82">
        <f>IF(ISNUMBER(MATCH(H5,'holiday list'!$A:$A,0)),
"",
COUNTIF(H6:H122,FALSE)
)</f>
        <v>117</v>
      </c>
      <c r="I4" s="82">
        <f>IF(ISNUMBER(MATCH(I5,'holiday list'!$A:$A,0)),
"",
COUNTIF(I6:I122,FALSE)
)</f>
        <v>117</v>
      </c>
      <c r="J4" s="82">
        <f>IF(ISNUMBER(MATCH(J5,'holiday list'!$A:$A,0)),
"",
COUNTIF(J6:J122,FALSE)
)</f>
        <v>117</v>
      </c>
      <c r="K4" s="82">
        <f>IF(ISNUMBER(MATCH(K5,'holiday list'!$A:$A,0)),
"",
COUNTIF(K6:K122,FALSE)
)</f>
        <v>117</v>
      </c>
      <c r="L4" s="82">
        <f>IF(ISNUMBER(MATCH(L5,'holiday list'!$A:$A,0)),
"",
COUNTIF(L6:L122,FALSE)
)</f>
        <v>117</v>
      </c>
      <c r="M4" s="82">
        <f>IF(ISNUMBER(MATCH(M5,'holiday list'!$A:$A,0)),
"",
COUNTIF(M6:M122,FALSE)
)</f>
        <v>117</v>
      </c>
      <c r="N4" s="82" t="str">
        <f>IF(ISNUMBER(MATCH(N5,'holiday list'!$A:$A,0)),
"",
COUNTIF(N6:N122,FALSE)
)</f>
        <v/>
      </c>
      <c r="O4" s="82">
        <f>IF(ISNUMBER(MATCH(O5,'holiday list'!$A:$A,0)),
"",
COUNTIF(O6:O122,FALSE)
)</f>
        <v>117</v>
      </c>
      <c r="P4" s="82">
        <f>IF(ISNUMBER(MATCH(P5,'holiday list'!$A:$A,0)),
"",
COUNTIF(P6:P122,FALSE)
)</f>
        <v>117</v>
      </c>
      <c r="Q4" s="82">
        <f>IF(ISNUMBER(MATCH(Q5,'holiday list'!$A:$A,0)),
"",
COUNTIF(Q6:Q122,FALSE)
)</f>
        <v>117</v>
      </c>
      <c r="R4" s="82">
        <f>IF(ISNUMBER(MATCH(R5,'holiday list'!$A:$A,0)),
"",
COUNTIF(R6:R122,FALSE)
)</f>
        <v>117</v>
      </c>
      <c r="S4" s="82">
        <f>IF(ISNUMBER(MATCH(S5,'holiday list'!$A:$A,0)),
"",
COUNTIF(S6:S122,FALSE)
)</f>
        <v>117</v>
      </c>
      <c r="T4" s="82">
        <f>IF(ISNUMBER(MATCH(T5,'holiday list'!$A:$A,0)),
"",
COUNTIF(T6:T122,FALSE)
)</f>
        <v>117</v>
      </c>
      <c r="U4" s="82" t="str">
        <f>IF(ISNUMBER(MATCH(U5,'holiday list'!$A:$A,0)),
"",
COUNTIF(U6:U122,FALSE)
)</f>
        <v/>
      </c>
      <c r="V4" s="82">
        <f>IF(ISNUMBER(MATCH(V5,'holiday list'!$A:$A,0)),
"",
COUNTIF(V6:V122,FALSE)
)</f>
        <v>117</v>
      </c>
      <c r="W4" s="82">
        <f>IF(ISNUMBER(MATCH(W5,'holiday list'!$A:$A,0)),
"",
COUNTIF(W6:W122,FALSE)
)</f>
        <v>117</v>
      </c>
      <c r="X4" s="82">
        <f>IF(ISNUMBER(MATCH(X5,'holiday list'!$A:$A,0)),
"",
COUNTIF(X6:X122,FALSE)
)</f>
        <v>117</v>
      </c>
      <c r="Y4" s="82">
        <f>IF(ISNUMBER(MATCH(Y5,'holiday list'!$A:$A,0)),
"",
COUNTIF(Y6:Y122,FALSE)
)</f>
        <v>117</v>
      </c>
      <c r="Z4" s="82">
        <f>IF(ISNUMBER(MATCH(Z5,'holiday list'!$A:$A,0)),
"",
COUNTIF(Z6:Z122,FALSE)
)</f>
        <v>117</v>
      </c>
      <c r="AA4" s="82">
        <f>IF(ISNUMBER(MATCH(AA5,'holiday list'!$A:$A,0)),
"",
COUNTIF(AA6:AA122,FALSE)
)</f>
        <v>117</v>
      </c>
      <c r="AB4" s="82" t="str">
        <f>IF(ISNUMBER(MATCH(AB5,'holiday list'!$A:$A,0)),
"",
COUNTIF(AB6:AB122,FALSE)
)</f>
        <v/>
      </c>
      <c r="AC4" s="82">
        <f>IF(ISNUMBER(MATCH(AC5,'holiday list'!$A:$A,0)),
"",
COUNTIF(AC6:AC122,FALSE)
)</f>
        <v>117</v>
      </c>
      <c r="AD4" s="82">
        <f>IF(ISNUMBER(MATCH(AD5,'holiday list'!$A:$A,0)),
"",
COUNTIF(AD6:AD122,FALSE)
)</f>
        <v>117</v>
      </c>
      <c r="AE4" s="82">
        <f>IF(ISNUMBER(MATCH(AE5,'holiday list'!$A:$A,0)),
"",
COUNTIF(AE6:AE122,FALSE)
)</f>
        <v>117</v>
      </c>
      <c r="AF4" s="82">
        <f>IF(ISNUMBER(MATCH(AF5,'holiday list'!$A:$A,0)),
"",
COUNTIF(AF6:AF122,FALSE)
)</f>
        <v>117</v>
      </c>
      <c r="AG4" s="82">
        <f>IF(ISNUMBER(MATCH(AG5,'holiday list'!$A:$A,0)),
"",
COUNTIF(AG6:AG122,FALSE)
)</f>
        <v>117</v>
      </c>
      <c r="AH4" s="82">
        <f>IF(ISNUMBER(MATCH(AH5,'holiday list'!$A:$A,0)),
"",
COUNTIF(AH6:AH122,FALSE)
)</f>
        <v>117</v>
      </c>
      <c r="AI4" s="82" t="str">
        <f>IF(ISNUMBER(MATCH(AI5,'holiday list'!$A:$A,0)),
"",
COUNTIF(AI6:AI122,FALSE)
)</f>
        <v/>
      </c>
      <c r="AJ4" s="82">
        <f>IF(ISNUMBER(MATCH(AJ5,'holiday list'!$A:$A,0)),
"",
COUNTIF(AJ6:AJ122,FALSE)
)</f>
        <v>117</v>
      </c>
      <c r="AK4" s="82">
        <f>IF(ISNUMBER(MATCH(AK5,'holiday list'!$A:$A,0)),
"",
COUNTIF(AK6:AK122,FALSE)
)</f>
        <v>117</v>
      </c>
      <c r="AL4" s="147"/>
      <c r="AM4" s="150"/>
      <c r="AN4" s="152"/>
    </row>
    <row r="5" spans="1:57" ht="60" customHeight="1" thickBot="1" x14ac:dyDescent="0.4">
      <c r="A5" s="26" t="s">
        <v>136</v>
      </c>
      <c r="B5" s="83">
        <f>SUBTOTAL(9,G4:AK4)</f>
        <v>3042</v>
      </c>
      <c r="C5" s="83" cm="1">
        <f t="array" ref="C5">SUMPRODUCT(
(G6:AK122=TRUE)*
(ISNA(MATCH(G5:AK5,'holiday list'!A:A,0)))
)</f>
        <v>0</v>
      </c>
      <c r="D5" s="84">
        <f>C5/B5</f>
        <v>0</v>
      </c>
      <c r="E5" s="85"/>
      <c r="F5" s="85"/>
      <c r="G5" s="86">
        <v>46082</v>
      </c>
      <c r="H5" s="86">
        <v>46083</v>
      </c>
      <c r="I5" s="86">
        <v>46084</v>
      </c>
      <c r="J5" s="86">
        <v>46085</v>
      </c>
      <c r="K5" s="86">
        <v>46086</v>
      </c>
      <c r="L5" s="86">
        <v>46087</v>
      </c>
      <c r="M5" s="86">
        <v>46088</v>
      </c>
      <c r="N5" s="86">
        <v>46089</v>
      </c>
      <c r="O5" s="86">
        <v>46090</v>
      </c>
      <c r="P5" s="86">
        <v>46091</v>
      </c>
      <c r="Q5" s="86">
        <v>46092</v>
      </c>
      <c r="R5" s="86">
        <v>46093</v>
      </c>
      <c r="S5" s="86">
        <v>46094</v>
      </c>
      <c r="T5" s="86">
        <v>46095</v>
      </c>
      <c r="U5" s="86">
        <v>46096</v>
      </c>
      <c r="V5" s="86">
        <v>46097</v>
      </c>
      <c r="W5" s="86">
        <v>46098</v>
      </c>
      <c r="X5" s="86">
        <v>46099</v>
      </c>
      <c r="Y5" s="86">
        <v>46100</v>
      </c>
      <c r="Z5" s="86">
        <v>46101</v>
      </c>
      <c r="AA5" s="86">
        <v>46102</v>
      </c>
      <c r="AB5" s="86">
        <v>46103</v>
      </c>
      <c r="AC5" s="86">
        <v>46104</v>
      </c>
      <c r="AD5" s="86">
        <v>46105</v>
      </c>
      <c r="AE5" s="86">
        <v>46106</v>
      </c>
      <c r="AF5" s="86">
        <v>46107</v>
      </c>
      <c r="AG5" s="86">
        <v>46108</v>
      </c>
      <c r="AH5" s="86">
        <v>46109</v>
      </c>
      <c r="AI5" s="86">
        <v>46110</v>
      </c>
      <c r="AJ5" s="86">
        <v>46111</v>
      </c>
      <c r="AK5" s="86">
        <v>46112</v>
      </c>
      <c r="AL5" s="147"/>
      <c r="AM5" s="151"/>
      <c r="AN5" s="152"/>
    </row>
    <row r="6" spans="1:57" x14ac:dyDescent="0.35">
      <c r="A6" s="5">
        <v>1</v>
      </c>
      <c r="B6" s="17" t="s">
        <v>167</v>
      </c>
      <c r="C6" s="17" t="s">
        <v>168</v>
      </c>
      <c r="D6" s="97" t="s">
        <v>42</v>
      </c>
      <c r="E6" s="98" t="s">
        <v>43</v>
      </c>
      <c r="F6" s="99" t="s">
        <v>169</v>
      </c>
      <c r="G6" s="87" t="b">
        <v>0</v>
      </c>
      <c r="H6" s="87" t="b">
        <v>0</v>
      </c>
      <c r="I6" s="87" t="b">
        <v>0</v>
      </c>
      <c r="J6" s="87" t="b">
        <v>0</v>
      </c>
      <c r="K6" s="88" t="b">
        <v>0</v>
      </c>
      <c r="L6" s="87" t="b">
        <v>0</v>
      </c>
      <c r="M6" s="87" t="b">
        <v>0</v>
      </c>
      <c r="N6" s="87" t="b">
        <v>0</v>
      </c>
      <c r="O6" s="87" t="b">
        <v>0</v>
      </c>
      <c r="P6" s="87" t="b">
        <v>0</v>
      </c>
      <c r="Q6" s="87" t="b">
        <v>0</v>
      </c>
      <c r="R6" s="87" t="b">
        <v>0</v>
      </c>
      <c r="S6" s="87" t="b">
        <v>0</v>
      </c>
      <c r="T6" s="87" t="b">
        <v>0</v>
      </c>
      <c r="U6" s="87" t="b">
        <v>0</v>
      </c>
      <c r="V6" s="87" t="b">
        <v>0</v>
      </c>
      <c r="W6" s="87" t="b">
        <v>0</v>
      </c>
      <c r="X6" s="87" t="b">
        <v>0</v>
      </c>
      <c r="Y6" s="87" t="b">
        <v>0</v>
      </c>
      <c r="Z6" s="87" t="b">
        <v>0</v>
      </c>
      <c r="AA6" s="87" t="b">
        <v>0</v>
      </c>
      <c r="AB6" s="87" t="b">
        <v>0</v>
      </c>
      <c r="AC6" s="87" t="b">
        <v>0</v>
      </c>
      <c r="AD6" s="87" t="b">
        <v>0</v>
      </c>
      <c r="AE6" s="87" t="b">
        <v>0</v>
      </c>
      <c r="AF6" s="87" t="b">
        <v>0</v>
      </c>
      <c r="AG6" s="87" t="b">
        <v>0</v>
      </c>
      <c r="AH6" s="87" t="b">
        <v>0</v>
      </c>
      <c r="AI6" s="87" t="b">
        <v>0</v>
      </c>
      <c r="AJ6" s="87" t="b">
        <v>0</v>
      </c>
      <c r="AK6" s="87" t="b">
        <v>0</v>
      </c>
      <c r="AL6" s="4" cm="1">
        <f t="array" ref="AL6">SUMPRODUCT(
--(G6:AK6=FALSE),
--(ISNA(MATCH($G5:$AK5,'holiday list'!A:A,0)))
)</f>
        <v>26</v>
      </c>
      <c r="AM6" s="4">
        <f t="shared" ref="AM6:AM38" si="1">COUNTIF(G6:AK6,TRUE)</f>
        <v>0</v>
      </c>
      <c r="AN6" s="89">
        <f>AM6/28</f>
        <v>0</v>
      </c>
      <c r="BD6" s="28" t="s">
        <v>137</v>
      </c>
      <c r="BE6" s="29" t="s">
        <v>150</v>
      </c>
    </row>
    <row r="7" spans="1:57" x14ac:dyDescent="0.35">
      <c r="A7" s="5">
        <v>2</v>
      </c>
      <c r="B7" s="17" t="s">
        <v>170</v>
      </c>
      <c r="C7" s="17" t="s">
        <v>171</v>
      </c>
      <c r="D7" s="97" t="s">
        <v>42</v>
      </c>
      <c r="E7" s="98" t="s">
        <v>45</v>
      </c>
      <c r="F7" s="99" t="s">
        <v>169</v>
      </c>
      <c r="G7" s="87" t="b">
        <v>0</v>
      </c>
      <c r="H7" s="87" t="b">
        <v>0</v>
      </c>
      <c r="I7" s="87" t="b">
        <v>0</v>
      </c>
      <c r="J7" s="87" t="b">
        <v>0</v>
      </c>
      <c r="K7" s="87" t="b">
        <v>0</v>
      </c>
      <c r="L7" s="87" t="b">
        <v>0</v>
      </c>
      <c r="M7" s="87" t="b">
        <v>0</v>
      </c>
      <c r="N7" s="87" t="b">
        <v>0</v>
      </c>
      <c r="O7" s="87" t="b">
        <v>0</v>
      </c>
      <c r="P7" s="87" t="b">
        <v>0</v>
      </c>
      <c r="Q7" s="87" t="b">
        <v>0</v>
      </c>
      <c r="R7" s="90" t="b">
        <v>0</v>
      </c>
      <c r="S7" s="87" t="b">
        <v>0</v>
      </c>
      <c r="T7" s="87" t="b">
        <v>0</v>
      </c>
      <c r="U7" s="87" t="b">
        <v>0</v>
      </c>
      <c r="V7" s="87" t="b">
        <v>0</v>
      </c>
      <c r="W7" s="87" t="b">
        <v>0</v>
      </c>
      <c r="X7" s="87" t="b">
        <v>0</v>
      </c>
      <c r="Y7" s="87" t="b">
        <v>0</v>
      </c>
      <c r="Z7" s="87" t="b">
        <v>0</v>
      </c>
      <c r="AA7" s="87" t="b">
        <v>0</v>
      </c>
      <c r="AB7" s="87" t="b">
        <v>0</v>
      </c>
      <c r="AC7" s="87" t="b">
        <v>0</v>
      </c>
      <c r="AD7" s="87" t="b">
        <v>0</v>
      </c>
      <c r="AE7" s="87" t="b">
        <v>0</v>
      </c>
      <c r="AF7" s="87" t="b">
        <v>0</v>
      </c>
      <c r="AG7" s="87" t="b">
        <v>0</v>
      </c>
      <c r="AH7" s="87" t="b">
        <v>0</v>
      </c>
      <c r="AI7" s="87" t="b">
        <v>0</v>
      </c>
      <c r="AJ7" s="87" t="b">
        <v>0</v>
      </c>
      <c r="AK7" s="87" t="b">
        <v>0</v>
      </c>
      <c r="AL7" s="4" cm="1">
        <f t="array" ref="AL7">SUMPRODUCT(
--(G7:AK7=FALSE),
--(ISNA(MATCH($G5:$AK5,'holiday list'!A:A,0)))
)</f>
        <v>26</v>
      </c>
      <c r="AM7" s="4">
        <f t="shared" si="1"/>
        <v>0</v>
      </c>
      <c r="AN7" s="89">
        <f t="shared" ref="AN7:AN70" si="2">AM7/28</f>
        <v>0</v>
      </c>
      <c r="BD7" s="2" t="s">
        <v>144</v>
      </c>
      <c r="BE7" s="2">
        <v>2026</v>
      </c>
    </row>
    <row r="8" spans="1:57" x14ac:dyDescent="0.35">
      <c r="A8" s="5">
        <v>3</v>
      </c>
      <c r="B8" s="72" t="s">
        <v>46</v>
      </c>
      <c r="C8" s="18" t="s">
        <v>47</v>
      </c>
      <c r="D8" s="97" t="s">
        <v>42</v>
      </c>
      <c r="E8" s="98" t="s">
        <v>45</v>
      </c>
      <c r="F8" s="99" t="s">
        <v>48</v>
      </c>
      <c r="G8" s="87" t="b">
        <v>0</v>
      </c>
      <c r="H8" s="87" t="b">
        <v>0</v>
      </c>
      <c r="I8" s="87" t="b">
        <v>0</v>
      </c>
      <c r="J8" s="87" t="b">
        <v>0</v>
      </c>
      <c r="K8" s="87" t="b">
        <v>0</v>
      </c>
      <c r="L8" s="91" t="b">
        <v>0</v>
      </c>
      <c r="M8" s="91" t="b">
        <v>0</v>
      </c>
      <c r="N8" s="87" t="b">
        <v>0</v>
      </c>
      <c r="O8" s="87" t="b">
        <v>0</v>
      </c>
      <c r="P8" s="87" t="b">
        <v>0</v>
      </c>
      <c r="Q8" s="87" t="b">
        <v>0</v>
      </c>
      <c r="R8" s="90" t="b">
        <v>0</v>
      </c>
      <c r="S8" s="87" t="b">
        <v>0</v>
      </c>
      <c r="T8" s="87" t="b">
        <v>0</v>
      </c>
      <c r="U8" s="87" t="b">
        <v>0</v>
      </c>
      <c r="V8" s="87" t="b">
        <v>0</v>
      </c>
      <c r="W8" s="87" t="b">
        <v>0</v>
      </c>
      <c r="X8" s="87" t="b">
        <v>0</v>
      </c>
      <c r="Y8" s="87" t="b">
        <v>0</v>
      </c>
      <c r="Z8" s="87" t="b">
        <v>0</v>
      </c>
      <c r="AA8" s="87" t="b">
        <v>0</v>
      </c>
      <c r="AB8" s="87" t="b">
        <v>0</v>
      </c>
      <c r="AC8" s="87" t="b">
        <v>0</v>
      </c>
      <c r="AD8" s="87" t="b">
        <v>0</v>
      </c>
      <c r="AE8" s="87" t="b">
        <v>0</v>
      </c>
      <c r="AF8" s="87" t="b">
        <v>0</v>
      </c>
      <c r="AG8" s="87" t="b">
        <v>0</v>
      </c>
      <c r="AH8" s="87" t="b">
        <v>0</v>
      </c>
      <c r="AI8" s="87" t="b">
        <v>0</v>
      </c>
      <c r="AJ8" s="87" t="b">
        <v>0</v>
      </c>
      <c r="AK8" s="87" t="b">
        <v>0</v>
      </c>
      <c r="AL8" s="4" cm="1">
        <f t="array" ref="AL8">SUMPRODUCT(
--(G8:AK8=FALSE),
--(ISNA(MATCH($G5:$AK5,'holiday list'!A:A,0)))
)</f>
        <v>26</v>
      </c>
      <c r="AM8" s="4">
        <f t="shared" si="1"/>
        <v>0</v>
      </c>
      <c r="AN8" s="89">
        <f t="shared" si="2"/>
        <v>0</v>
      </c>
      <c r="BD8" s="2" t="s">
        <v>145</v>
      </c>
      <c r="BE8" s="2">
        <v>2027</v>
      </c>
    </row>
    <row r="9" spans="1:57" x14ac:dyDescent="0.35">
      <c r="A9" s="5">
        <v>4</v>
      </c>
      <c r="B9" s="19" t="s">
        <v>49</v>
      </c>
      <c r="C9" s="66" t="s">
        <v>47</v>
      </c>
      <c r="D9" s="97" t="s">
        <v>42</v>
      </c>
      <c r="E9" s="98" t="s">
        <v>45</v>
      </c>
      <c r="F9" s="99" t="s">
        <v>48</v>
      </c>
      <c r="G9" s="87" t="b">
        <v>0</v>
      </c>
      <c r="H9" s="87" t="b">
        <v>0</v>
      </c>
      <c r="I9" s="87" t="b">
        <v>0</v>
      </c>
      <c r="J9" s="87" t="b">
        <v>0</v>
      </c>
      <c r="K9" s="87" t="b">
        <v>0</v>
      </c>
      <c r="L9" s="90" t="b">
        <v>0</v>
      </c>
      <c r="M9" s="91" t="b">
        <v>0</v>
      </c>
      <c r="N9" s="87" t="b">
        <v>0</v>
      </c>
      <c r="O9" s="87" t="b">
        <v>0</v>
      </c>
      <c r="P9" s="87" t="b">
        <v>0</v>
      </c>
      <c r="Q9" s="87" t="b">
        <v>0</v>
      </c>
      <c r="R9" s="90" t="b">
        <v>0</v>
      </c>
      <c r="S9" s="87" t="b">
        <v>0</v>
      </c>
      <c r="T9" s="87" t="b">
        <v>0</v>
      </c>
      <c r="U9" s="87" t="b">
        <v>0</v>
      </c>
      <c r="V9" s="87" t="b">
        <v>0</v>
      </c>
      <c r="W9" s="87" t="b">
        <v>0</v>
      </c>
      <c r="X9" s="87" t="b">
        <v>0</v>
      </c>
      <c r="Y9" s="87" t="b">
        <v>0</v>
      </c>
      <c r="Z9" s="87" t="b">
        <v>0</v>
      </c>
      <c r="AA9" s="87" t="b">
        <v>0</v>
      </c>
      <c r="AB9" s="87" t="b">
        <v>0</v>
      </c>
      <c r="AC9" s="87" t="b">
        <v>0</v>
      </c>
      <c r="AD9" s="87" t="b">
        <v>0</v>
      </c>
      <c r="AE9" s="87" t="b">
        <v>0</v>
      </c>
      <c r="AF9" s="87" t="b">
        <v>0</v>
      </c>
      <c r="AG9" s="87" t="b">
        <v>0</v>
      </c>
      <c r="AH9" s="87" t="b">
        <v>0</v>
      </c>
      <c r="AI9" s="87" t="b">
        <v>0</v>
      </c>
      <c r="AJ9" s="87" t="b">
        <v>0</v>
      </c>
      <c r="AK9" s="87" t="b">
        <v>0</v>
      </c>
      <c r="AL9" s="4" cm="1">
        <f t="array" ref="AL9">SUMPRODUCT(
--(G9:AK9=FALSE),
--(ISNA(MATCH(G$5:AK$5,'holiday list'!A:A,0)))
)</f>
        <v>26</v>
      </c>
      <c r="AM9" s="4">
        <f t="shared" si="1"/>
        <v>0</v>
      </c>
      <c r="AN9" s="89">
        <f t="shared" si="2"/>
        <v>0</v>
      </c>
      <c r="BD9" s="2" t="s">
        <v>138</v>
      </c>
      <c r="BE9" s="2">
        <v>2028</v>
      </c>
    </row>
    <row r="10" spans="1:57" x14ac:dyDescent="0.35">
      <c r="A10" s="5">
        <v>5</v>
      </c>
      <c r="B10" s="66" t="s">
        <v>50</v>
      </c>
      <c r="C10" s="66" t="s">
        <v>47</v>
      </c>
      <c r="D10" s="97" t="s">
        <v>42</v>
      </c>
      <c r="E10" s="98" t="s">
        <v>45</v>
      </c>
      <c r="F10" s="99" t="s">
        <v>48</v>
      </c>
      <c r="G10" s="87" t="b">
        <v>0</v>
      </c>
      <c r="H10" s="87" t="b">
        <v>0</v>
      </c>
      <c r="I10" s="87" t="b">
        <v>0</v>
      </c>
      <c r="J10" s="87" t="b">
        <v>0</v>
      </c>
      <c r="K10" s="87" t="b">
        <v>0</v>
      </c>
      <c r="L10" s="90" t="b">
        <v>0</v>
      </c>
      <c r="M10" s="91" t="b">
        <v>0</v>
      </c>
      <c r="N10" s="87" t="b">
        <v>0</v>
      </c>
      <c r="O10" s="87" t="b">
        <v>0</v>
      </c>
      <c r="P10" s="87" t="b">
        <v>0</v>
      </c>
      <c r="Q10" s="87" t="b">
        <v>0</v>
      </c>
      <c r="R10" s="90" t="b">
        <v>0</v>
      </c>
      <c r="S10" s="87" t="b">
        <v>0</v>
      </c>
      <c r="T10" s="87" t="b">
        <v>0</v>
      </c>
      <c r="U10" s="87" t="b">
        <v>0</v>
      </c>
      <c r="V10" s="87" t="b">
        <v>0</v>
      </c>
      <c r="W10" s="87" t="b">
        <v>0</v>
      </c>
      <c r="X10" s="87" t="b">
        <v>0</v>
      </c>
      <c r="Y10" s="87" t="b">
        <v>0</v>
      </c>
      <c r="Z10" s="87" t="b">
        <v>0</v>
      </c>
      <c r="AA10" s="87" t="b">
        <v>0</v>
      </c>
      <c r="AB10" s="87" t="b">
        <v>0</v>
      </c>
      <c r="AC10" s="87" t="b">
        <v>0</v>
      </c>
      <c r="AD10" s="87" t="b">
        <v>0</v>
      </c>
      <c r="AE10" s="87" t="b">
        <v>0</v>
      </c>
      <c r="AF10" s="87" t="b">
        <v>0</v>
      </c>
      <c r="AG10" s="87" t="b">
        <v>0</v>
      </c>
      <c r="AH10" s="87" t="b">
        <v>0</v>
      </c>
      <c r="AI10" s="87" t="b">
        <v>0</v>
      </c>
      <c r="AJ10" s="87" t="b">
        <v>0</v>
      </c>
      <c r="AK10" s="87" t="b">
        <v>0</v>
      </c>
      <c r="AL10" s="4" cm="1">
        <f t="array" ref="AL10">SUMPRODUCT(
--(G10:AK10=FALSE),
--(ISNA(MATCH(G$5:AK$5,'holiday list'!A:A,0)))
)</f>
        <v>26</v>
      </c>
      <c r="AM10" s="4">
        <f t="shared" si="1"/>
        <v>0</v>
      </c>
      <c r="AN10" s="89">
        <f t="shared" si="2"/>
        <v>0</v>
      </c>
      <c r="BD10" s="2" t="s">
        <v>139</v>
      </c>
      <c r="BE10" s="2">
        <v>2029</v>
      </c>
    </row>
    <row r="11" spans="1:57" x14ac:dyDescent="0.35">
      <c r="A11" s="5">
        <v>6</v>
      </c>
      <c r="B11" s="19" t="s">
        <v>51</v>
      </c>
      <c r="C11" s="66" t="s">
        <v>47</v>
      </c>
      <c r="D11" s="97" t="s">
        <v>42</v>
      </c>
      <c r="E11" s="98" t="s">
        <v>45</v>
      </c>
      <c r="F11" s="99" t="s">
        <v>48</v>
      </c>
      <c r="G11" s="87" t="b">
        <v>0</v>
      </c>
      <c r="H11" s="87" t="b">
        <v>0</v>
      </c>
      <c r="I11" s="87" t="b">
        <v>0</v>
      </c>
      <c r="J11" s="87" t="b">
        <v>0</v>
      </c>
      <c r="K11" s="87" t="b">
        <v>0</v>
      </c>
      <c r="L11" s="90" t="b">
        <v>0</v>
      </c>
      <c r="M11" s="91" t="b">
        <v>0</v>
      </c>
      <c r="N11" s="87" t="b">
        <v>0</v>
      </c>
      <c r="O11" s="87" t="b">
        <v>0</v>
      </c>
      <c r="P11" s="87" t="b">
        <v>0</v>
      </c>
      <c r="Q11" s="87" t="b">
        <v>0</v>
      </c>
      <c r="R11" s="90" t="b">
        <v>0</v>
      </c>
      <c r="S11" s="87" t="b">
        <v>0</v>
      </c>
      <c r="T11" s="87" t="b">
        <v>0</v>
      </c>
      <c r="U11" s="87" t="b">
        <v>0</v>
      </c>
      <c r="V11" s="87" t="b">
        <v>0</v>
      </c>
      <c r="W11" s="87" t="b">
        <v>0</v>
      </c>
      <c r="X11" s="87" t="b">
        <v>0</v>
      </c>
      <c r="Y11" s="87" t="b">
        <v>0</v>
      </c>
      <c r="Z11" s="87" t="b">
        <v>0</v>
      </c>
      <c r="AA11" s="87" t="b">
        <v>0</v>
      </c>
      <c r="AB11" s="87" t="b">
        <v>0</v>
      </c>
      <c r="AC11" s="87" t="b">
        <v>0</v>
      </c>
      <c r="AD11" s="87" t="b">
        <v>0</v>
      </c>
      <c r="AE11" s="87" t="b">
        <v>0</v>
      </c>
      <c r="AF11" s="87" t="b">
        <v>0</v>
      </c>
      <c r="AG11" s="87" t="b">
        <v>0</v>
      </c>
      <c r="AH11" s="87" t="b">
        <v>0</v>
      </c>
      <c r="AI11" s="87" t="b">
        <v>0</v>
      </c>
      <c r="AJ11" s="87" t="b">
        <v>0</v>
      </c>
      <c r="AK11" s="87" t="b">
        <v>0</v>
      </c>
      <c r="AL11" s="4" cm="1">
        <f t="array" ref="AL11">SUMPRODUCT(
--(G11:AK11=FALSE),
--(ISNA(MATCH(G$5:AK$5,'holiday list'!A:A,0)))
)</f>
        <v>26</v>
      </c>
      <c r="AM11" s="4">
        <f t="shared" si="1"/>
        <v>0</v>
      </c>
      <c r="AN11" s="89">
        <f t="shared" si="2"/>
        <v>0</v>
      </c>
      <c r="BD11" s="2" t="s">
        <v>146</v>
      </c>
      <c r="BE11" s="2">
        <v>2030</v>
      </c>
    </row>
    <row r="12" spans="1:57" x14ac:dyDescent="0.35">
      <c r="A12" s="5">
        <v>7</v>
      </c>
      <c r="B12" s="66" t="s">
        <v>52</v>
      </c>
      <c r="C12" s="66" t="s">
        <v>47</v>
      </c>
      <c r="D12" s="97" t="s">
        <v>53</v>
      </c>
      <c r="E12" s="98" t="s">
        <v>45</v>
      </c>
      <c r="F12" s="99" t="s">
        <v>48</v>
      </c>
      <c r="G12" s="87" t="b">
        <v>0</v>
      </c>
      <c r="H12" s="87" t="b">
        <v>0</v>
      </c>
      <c r="I12" s="87" t="b">
        <v>0</v>
      </c>
      <c r="J12" s="87" t="b">
        <v>0</v>
      </c>
      <c r="K12" s="87" t="b">
        <v>0</v>
      </c>
      <c r="L12" s="90" t="b">
        <v>0</v>
      </c>
      <c r="M12" s="91" t="b">
        <v>0</v>
      </c>
      <c r="N12" s="87" t="b">
        <v>0</v>
      </c>
      <c r="O12" s="87" t="b">
        <v>0</v>
      </c>
      <c r="P12" s="87" t="b">
        <v>0</v>
      </c>
      <c r="Q12" s="87" t="b">
        <v>0</v>
      </c>
      <c r="R12" s="90" t="b">
        <v>0</v>
      </c>
      <c r="S12" s="87" t="b">
        <v>0</v>
      </c>
      <c r="T12" s="87" t="b">
        <v>0</v>
      </c>
      <c r="U12" s="87" t="b">
        <v>0</v>
      </c>
      <c r="V12" s="87" t="b">
        <v>0</v>
      </c>
      <c r="W12" s="87" t="b">
        <v>0</v>
      </c>
      <c r="X12" s="87" t="b">
        <v>0</v>
      </c>
      <c r="Y12" s="87" t="b">
        <v>0</v>
      </c>
      <c r="Z12" s="87" t="b">
        <v>0</v>
      </c>
      <c r="AA12" s="87" t="b">
        <v>0</v>
      </c>
      <c r="AB12" s="87" t="b">
        <v>0</v>
      </c>
      <c r="AC12" s="87" t="b">
        <v>0</v>
      </c>
      <c r="AD12" s="87" t="b">
        <v>0</v>
      </c>
      <c r="AE12" s="87" t="b">
        <v>0</v>
      </c>
      <c r="AF12" s="87" t="b">
        <v>0</v>
      </c>
      <c r="AG12" s="87" t="b">
        <v>0</v>
      </c>
      <c r="AH12" s="87" t="b">
        <v>0</v>
      </c>
      <c r="AI12" s="87" t="b">
        <v>0</v>
      </c>
      <c r="AJ12" s="87" t="b">
        <v>0</v>
      </c>
      <c r="AK12" s="87" t="b">
        <v>0</v>
      </c>
      <c r="AL12" s="4" cm="1">
        <f t="array" ref="AL12">SUMPRODUCT(
--(G12:AK12=FALSE),
--(ISNA(MATCH(G$5:AK$5,'holiday list'!A:A,0)))
)</f>
        <v>26</v>
      </c>
      <c r="AM12" s="4">
        <f t="shared" si="1"/>
        <v>0</v>
      </c>
      <c r="AN12" s="89">
        <f t="shared" si="2"/>
        <v>0</v>
      </c>
      <c r="BD12" s="2" t="s">
        <v>147</v>
      </c>
      <c r="BE12" s="2">
        <v>2031</v>
      </c>
    </row>
    <row r="13" spans="1:57" x14ac:dyDescent="0.35">
      <c r="A13" s="5">
        <v>8</v>
      </c>
      <c r="B13" s="66" t="s">
        <v>26</v>
      </c>
      <c r="C13" s="66" t="s">
        <v>47</v>
      </c>
      <c r="D13" s="97" t="s">
        <v>53</v>
      </c>
      <c r="E13" s="98" t="s">
        <v>45</v>
      </c>
      <c r="F13" s="99" t="s">
        <v>48</v>
      </c>
      <c r="G13" s="87" t="b">
        <v>0</v>
      </c>
      <c r="H13" s="87" t="b">
        <v>0</v>
      </c>
      <c r="I13" s="87" t="b">
        <v>0</v>
      </c>
      <c r="J13" s="87" t="b">
        <v>0</v>
      </c>
      <c r="K13" s="87" t="b">
        <v>0</v>
      </c>
      <c r="L13" s="90" t="b">
        <v>0</v>
      </c>
      <c r="M13" s="91" t="b">
        <v>0</v>
      </c>
      <c r="N13" s="87" t="b">
        <v>0</v>
      </c>
      <c r="O13" s="87" t="b">
        <v>0</v>
      </c>
      <c r="P13" s="87" t="b">
        <v>0</v>
      </c>
      <c r="Q13" s="87" t="b">
        <v>0</v>
      </c>
      <c r="R13" s="90" t="b">
        <v>0</v>
      </c>
      <c r="S13" s="87" t="b">
        <v>0</v>
      </c>
      <c r="T13" s="87" t="b">
        <v>0</v>
      </c>
      <c r="U13" s="87" t="b">
        <v>0</v>
      </c>
      <c r="V13" s="87" t="b">
        <v>0</v>
      </c>
      <c r="W13" s="87" t="b">
        <v>0</v>
      </c>
      <c r="X13" s="87" t="b">
        <v>0</v>
      </c>
      <c r="Y13" s="87" t="b">
        <v>0</v>
      </c>
      <c r="Z13" s="87" t="b">
        <v>0</v>
      </c>
      <c r="AA13" s="87" t="b">
        <v>0</v>
      </c>
      <c r="AB13" s="87" t="b">
        <v>0</v>
      </c>
      <c r="AC13" s="87" t="b">
        <v>0</v>
      </c>
      <c r="AD13" s="87" t="b">
        <v>0</v>
      </c>
      <c r="AE13" s="87" t="b">
        <v>0</v>
      </c>
      <c r="AF13" s="87" t="b">
        <v>0</v>
      </c>
      <c r="AG13" s="87" t="b">
        <v>0</v>
      </c>
      <c r="AH13" s="87" t="b">
        <v>0</v>
      </c>
      <c r="AI13" s="87" t="b">
        <v>0</v>
      </c>
      <c r="AJ13" s="87" t="b">
        <v>0</v>
      </c>
      <c r="AK13" s="87" t="b">
        <v>0</v>
      </c>
      <c r="AL13" s="4" cm="1">
        <f t="array" ref="AL13">SUMPRODUCT(
--(G13:AK13=FALSE),
--(ISNA(MATCH(G$5:AK$5,'holiday list'!A:A,0)))
)</f>
        <v>26</v>
      </c>
      <c r="AM13" s="4">
        <f t="shared" si="1"/>
        <v>0</v>
      </c>
      <c r="AN13" s="89">
        <f t="shared" si="2"/>
        <v>0</v>
      </c>
      <c r="BD13" s="2" t="s">
        <v>148</v>
      </c>
      <c r="BE13" s="2">
        <v>2032</v>
      </c>
    </row>
    <row r="14" spans="1:57" x14ac:dyDescent="0.35">
      <c r="A14" s="5">
        <v>9</v>
      </c>
      <c r="B14" s="18" t="s">
        <v>54</v>
      </c>
      <c r="C14" s="66" t="s">
        <v>47</v>
      </c>
      <c r="D14" s="97" t="s">
        <v>53</v>
      </c>
      <c r="E14" s="98" t="s">
        <v>45</v>
      </c>
      <c r="F14" s="99" t="s">
        <v>48</v>
      </c>
      <c r="G14" s="87" t="b">
        <v>0</v>
      </c>
      <c r="H14" s="87" t="b">
        <v>0</v>
      </c>
      <c r="I14" s="87" t="b">
        <v>0</v>
      </c>
      <c r="J14" s="87" t="b">
        <v>0</v>
      </c>
      <c r="K14" s="87" t="b">
        <v>0</v>
      </c>
      <c r="L14" s="90" t="b">
        <v>0</v>
      </c>
      <c r="M14" s="91" t="b">
        <v>0</v>
      </c>
      <c r="N14" s="87" t="b">
        <v>0</v>
      </c>
      <c r="O14" s="87" t="b">
        <v>0</v>
      </c>
      <c r="P14" s="87" t="b">
        <v>0</v>
      </c>
      <c r="Q14" s="87" t="b">
        <v>0</v>
      </c>
      <c r="R14" s="90" t="b">
        <v>0</v>
      </c>
      <c r="S14" s="87" t="b">
        <v>0</v>
      </c>
      <c r="T14" s="87" t="b">
        <v>0</v>
      </c>
      <c r="U14" s="87" t="b">
        <v>0</v>
      </c>
      <c r="V14" s="87" t="b">
        <v>0</v>
      </c>
      <c r="W14" s="87" t="b">
        <v>0</v>
      </c>
      <c r="X14" s="87" t="b">
        <v>0</v>
      </c>
      <c r="Y14" s="87" t="b">
        <v>0</v>
      </c>
      <c r="Z14" s="87" t="b">
        <v>0</v>
      </c>
      <c r="AA14" s="87" t="b">
        <v>0</v>
      </c>
      <c r="AB14" s="87" t="b">
        <v>0</v>
      </c>
      <c r="AC14" s="87" t="b">
        <v>0</v>
      </c>
      <c r="AD14" s="87" t="b">
        <v>0</v>
      </c>
      <c r="AE14" s="87" t="b">
        <v>0</v>
      </c>
      <c r="AF14" s="87" t="b">
        <v>0</v>
      </c>
      <c r="AG14" s="87" t="b">
        <v>0</v>
      </c>
      <c r="AH14" s="87" t="b">
        <v>0</v>
      </c>
      <c r="AI14" s="87" t="b">
        <v>0</v>
      </c>
      <c r="AJ14" s="87" t="b">
        <v>0</v>
      </c>
      <c r="AK14" s="87" t="b">
        <v>0</v>
      </c>
      <c r="AL14" s="4" cm="1">
        <f t="array" ref="AL14">SUMPRODUCT(
--(G14:AK14=FALSE),
--(ISNA(MATCH(G$5:AK$5,'holiday list'!A:A,0)))
)</f>
        <v>26</v>
      </c>
      <c r="AM14" s="4">
        <f t="shared" si="1"/>
        <v>0</v>
      </c>
      <c r="AN14" s="89">
        <f t="shared" si="2"/>
        <v>0</v>
      </c>
      <c r="BD14" s="2" t="s">
        <v>140</v>
      </c>
      <c r="BE14" s="2">
        <v>2033</v>
      </c>
    </row>
    <row r="15" spans="1:57" x14ac:dyDescent="0.35">
      <c r="A15" s="5">
        <v>10</v>
      </c>
      <c r="B15" s="18" t="s">
        <v>172</v>
      </c>
      <c r="C15" s="66" t="s">
        <v>47</v>
      </c>
      <c r="D15" s="97" t="s">
        <v>53</v>
      </c>
      <c r="E15" s="98" t="s">
        <v>45</v>
      </c>
      <c r="F15" s="99" t="s">
        <v>48</v>
      </c>
      <c r="G15" s="87" t="b">
        <v>0</v>
      </c>
      <c r="H15" s="87" t="b">
        <v>0</v>
      </c>
      <c r="I15" s="87" t="b">
        <v>0</v>
      </c>
      <c r="J15" s="87" t="b">
        <v>0</v>
      </c>
      <c r="K15" s="87" t="b">
        <v>0</v>
      </c>
      <c r="L15" s="92" t="b">
        <v>0</v>
      </c>
      <c r="M15" s="91" t="b">
        <v>0</v>
      </c>
      <c r="N15" s="87" t="b">
        <v>0</v>
      </c>
      <c r="O15" s="87" t="b">
        <v>0</v>
      </c>
      <c r="P15" s="87" t="b">
        <v>0</v>
      </c>
      <c r="Q15" s="87" t="b">
        <v>0</v>
      </c>
      <c r="R15" s="87" t="b">
        <v>0</v>
      </c>
      <c r="S15" s="87" t="b">
        <v>0</v>
      </c>
      <c r="T15" s="87" t="b">
        <v>0</v>
      </c>
      <c r="U15" s="87" t="b">
        <v>0</v>
      </c>
      <c r="V15" s="87" t="b">
        <v>0</v>
      </c>
      <c r="W15" s="87" t="b">
        <v>0</v>
      </c>
      <c r="X15" s="87" t="b">
        <v>0</v>
      </c>
      <c r="Y15" s="87" t="b">
        <v>0</v>
      </c>
      <c r="Z15" s="87" t="b">
        <v>0</v>
      </c>
      <c r="AA15" s="87" t="b">
        <v>0</v>
      </c>
      <c r="AB15" s="87" t="b">
        <v>0</v>
      </c>
      <c r="AC15" s="87" t="b">
        <v>0</v>
      </c>
      <c r="AD15" s="87" t="b">
        <v>0</v>
      </c>
      <c r="AE15" s="87" t="b">
        <v>0</v>
      </c>
      <c r="AF15" s="87" t="b">
        <v>0</v>
      </c>
      <c r="AG15" s="87" t="b">
        <v>0</v>
      </c>
      <c r="AH15" s="87" t="b">
        <v>0</v>
      </c>
      <c r="AI15" s="87" t="b">
        <v>0</v>
      </c>
      <c r="AJ15" s="87" t="b">
        <v>0</v>
      </c>
      <c r="AK15" s="87" t="b">
        <v>0</v>
      </c>
      <c r="AL15" s="4" cm="1">
        <f t="array" ref="AL15">SUMPRODUCT(
--(G15:AK15=FALSE),
--(ISNA(MATCH(G$5:AK$5,'holiday list'!A:A,0)))
)</f>
        <v>26</v>
      </c>
      <c r="AM15" s="4">
        <f t="shared" si="1"/>
        <v>0</v>
      </c>
      <c r="AN15" s="89">
        <f t="shared" si="2"/>
        <v>0</v>
      </c>
      <c r="BD15" s="2" t="s">
        <v>141</v>
      </c>
      <c r="BE15" s="2">
        <v>2034</v>
      </c>
    </row>
    <row r="16" spans="1:57" x14ac:dyDescent="0.35">
      <c r="A16" s="5">
        <v>11</v>
      </c>
      <c r="B16" s="18" t="s">
        <v>173</v>
      </c>
      <c r="C16" s="66" t="s">
        <v>47</v>
      </c>
      <c r="D16" s="97" t="s">
        <v>53</v>
      </c>
      <c r="E16" s="98" t="s">
        <v>45</v>
      </c>
      <c r="F16" s="99" t="s">
        <v>48</v>
      </c>
      <c r="G16" s="87" t="b">
        <v>0</v>
      </c>
      <c r="H16" s="87" t="b">
        <v>0</v>
      </c>
      <c r="I16" s="87" t="b">
        <v>0</v>
      </c>
      <c r="J16" s="87" t="b">
        <v>0</v>
      </c>
      <c r="K16" s="87" t="b">
        <v>0</v>
      </c>
      <c r="L16" s="93" t="b">
        <v>0</v>
      </c>
      <c r="M16" s="91" t="b">
        <v>0</v>
      </c>
      <c r="N16" s="87" t="b">
        <v>0</v>
      </c>
      <c r="O16" s="87" t="b">
        <v>0</v>
      </c>
      <c r="P16" s="87" t="b">
        <v>0</v>
      </c>
      <c r="Q16" s="87" t="b">
        <v>0</v>
      </c>
      <c r="R16" s="87" t="b">
        <v>0</v>
      </c>
      <c r="S16" s="87" t="b">
        <v>0</v>
      </c>
      <c r="T16" s="87" t="b">
        <v>0</v>
      </c>
      <c r="U16" s="87" t="b">
        <v>0</v>
      </c>
      <c r="V16" s="87" t="b">
        <v>0</v>
      </c>
      <c r="W16" s="87" t="b">
        <v>0</v>
      </c>
      <c r="X16" s="87" t="b">
        <v>0</v>
      </c>
      <c r="Y16" s="87" t="b">
        <v>0</v>
      </c>
      <c r="Z16" s="87" t="b">
        <v>0</v>
      </c>
      <c r="AA16" s="87" t="b">
        <v>0</v>
      </c>
      <c r="AB16" s="87" t="b">
        <v>0</v>
      </c>
      <c r="AC16" s="87" t="b">
        <v>0</v>
      </c>
      <c r="AD16" s="87" t="b">
        <v>0</v>
      </c>
      <c r="AE16" s="87" t="b">
        <v>0</v>
      </c>
      <c r="AF16" s="87" t="b">
        <v>0</v>
      </c>
      <c r="AG16" s="87" t="b">
        <v>0</v>
      </c>
      <c r="AH16" s="87" t="b">
        <v>0</v>
      </c>
      <c r="AI16" s="87" t="b">
        <v>0</v>
      </c>
      <c r="AJ16" s="87" t="b">
        <v>0</v>
      </c>
      <c r="AK16" s="87" t="b">
        <v>0</v>
      </c>
      <c r="AL16" s="4" cm="1">
        <f t="array" ref="AL16">SUMPRODUCT(
--(G16:AK16=FALSE),
--(ISNA(MATCH(G$5:AK$5,'holiday list'!A:A,0)))
)</f>
        <v>26</v>
      </c>
      <c r="AM16" s="4">
        <f t="shared" si="1"/>
        <v>0</v>
      </c>
      <c r="AN16" s="89">
        <f t="shared" si="2"/>
        <v>0</v>
      </c>
      <c r="BD16" s="2" t="s">
        <v>149</v>
      </c>
      <c r="BE16" s="2">
        <v>2035</v>
      </c>
    </row>
    <row r="17" spans="1:57" x14ac:dyDescent="0.35">
      <c r="A17" s="5">
        <v>12</v>
      </c>
      <c r="B17" s="19" t="s">
        <v>33</v>
      </c>
      <c r="C17" s="66" t="s">
        <v>47</v>
      </c>
      <c r="D17" s="97" t="s">
        <v>53</v>
      </c>
      <c r="E17" s="98" t="s">
        <v>45</v>
      </c>
      <c r="F17" s="99" t="s">
        <v>48</v>
      </c>
      <c r="G17" s="87" t="b">
        <v>0</v>
      </c>
      <c r="H17" s="87" t="b">
        <v>0</v>
      </c>
      <c r="I17" s="87" t="b">
        <v>0</v>
      </c>
      <c r="J17" s="87" t="b">
        <v>0</v>
      </c>
      <c r="K17" s="87" t="b">
        <v>0</v>
      </c>
      <c r="L17" s="93" t="b">
        <v>0</v>
      </c>
      <c r="M17" s="91" t="b">
        <v>0</v>
      </c>
      <c r="N17" s="87" t="b">
        <v>0</v>
      </c>
      <c r="O17" s="87" t="b">
        <v>0</v>
      </c>
      <c r="P17" s="87" t="b">
        <v>0</v>
      </c>
      <c r="Q17" s="87" t="b">
        <v>0</v>
      </c>
      <c r="R17" s="87" t="b">
        <v>0</v>
      </c>
      <c r="S17" s="87" t="b">
        <v>0</v>
      </c>
      <c r="T17" s="87" t="b">
        <v>0</v>
      </c>
      <c r="U17" s="87" t="b">
        <v>0</v>
      </c>
      <c r="V17" s="87" t="b">
        <v>0</v>
      </c>
      <c r="W17" s="87" t="b">
        <v>0</v>
      </c>
      <c r="X17" s="87" t="b">
        <v>0</v>
      </c>
      <c r="Y17" s="87" t="b">
        <v>0</v>
      </c>
      <c r="Z17" s="87" t="b">
        <v>0</v>
      </c>
      <c r="AA17" s="87" t="b">
        <v>0</v>
      </c>
      <c r="AB17" s="87" t="b">
        <v>0</v>
      </c>
      <c r="AC17" s="87" t="b">
        <v>0</v>
      </c>
      <c r="AD17" s="87" t="b">
        <v>0</v>
      </c>
      <c r="AE17" s="87" t="b">
        <v>0</v>
      </c>
      <c r="AF17" s="87" t="b">
        <v>0</v>
      </c>
      <c r="AG17" s="87" t="b">
        <v>0</v>
      </c>
      <c r="AH17" s="87" t="b">
        <v>0</v>
      </c>
      <c r="AI17" s="87" t="b">
        <v>0</v>
      </c>
      <c r="AJ17" s="87" t="b">
        <v>0</v>
      </c>
      <c r="AK17" s="87" t="b">
        <v>0</v>
      </c>
      <c r="AL17" s="4" cm="1">
        <f t="array" ref="AL17">SUMPRODUCT(
--(G17:AK17=FALSE),
--(ISNA(MATCH(G$5:AK$5,'holiday list'!A:A,0)))
)</f>
        <v>26</v>
      </c>
      <c r="AM17" s="4">
        <f t="shared" si="1"/>
        <v>0</v>
      </c>
      <c r="AN17" s="89">
        <f t="shared" si="2"/>
        <v>0</v>
      </c>
      <c r="BD17" s="2" t="s">
        <v>142</v>
      </c>
      <c r="BE17" s="2">
        <v>2036</v>
      </c>
    </row>
    <row r="18" spans="1:57" x14ac:dyDescent="0.35">
      <c r="A18" s="5">
        <v>13</v>
      </c>
      <c r="B18" s="18" t="s">
        <v>56</v>
      </c>
      <c r="C18" s="18" t="s">
        <v>57</v>
      </c>
      <c r="D18" s="97" t="s">
        <v>42</v>
      </c>
      <c r="E18" s="98" t="s">
        <v>45</v>
      </c>
      <c r="F18" s="99" t="s">
        <v>48</v>
      </c>
      <c r="G18" s="87" t="b">
        <v>0</v>
      </c>
      <c r="H18" s="87" t="b">
        <v>0</v>
      </c>
      <c r="I18" s="87" t="b">
        <v>0</v>
      </c>
      <c r="J18" s="87" t="b">
        <v>0</v>
      </c>
      <c r="K18" s="87" t="b">
        <v>0</v>
      </c>
      <c r="L18" s="93" t="b">
        <v>0</v>
      </c>
      <c r="M18" s="91" t="b">
        <v>0</v>
      </c>
      <c r="N18" s="87" t="b">
        <v>0</v>
      </c>
      <c r="O18" s="87" t="b">
        <v>0</v>
      </c>
      <c r="P18" s="87" t="b">
        <v>0</v>
      </c>
      <c r="Q18" s="87" t="b">
        <v>0</v>
      </c>
      <c r="R18" s="87" t="b">
        <v>0</v>
      </c>
      <c r="S18" s="87" t="b">
        <v>0</v>
      </c>
      <c r="T18" s="87" t="b">
        <v>0</v>
      </c>
      <c r="U18" s="87" t="b">
        <v>0</v>
      </c>
      <c r="V18" s="87" t="b">
        <v>0</v>
      </c>
      <c r="W18" s="87" t="b">
        <v>0</v>
      </c>
      <c r="X18" s="87" t="b">
        <v>0</v>
      </c>
      <c r="Y18" s="87" t="b">
        <v>0</v>
      </c>
      <c r="Z18" s="87" t="b">
        <v>0</v>
      </c>
      <c r="AA18" s="87" t="b">
        <v>0</v>
      </c>
      <c r="AB18" s="87" t="b">
        <v>0</v>
      </c>
      <c r="AC18" s="87" t="b">
        <v>0</v>
      </c>
      <c r="AD18" s="87" t="b">
        <v>0</v>
      </c>
      <c r="AE18" s="87" t="b">
        <v>0</v>
      </c>
      <c r="AF18" s="87" t="b">
        <v>0</v>
      </c>
      <c r="AG18" s="87" t="b">
        <v>0</v>
      </c>
      <c r="AH18" s="87" t="b">
        <v>0</v>
      </c>
      <c r="AI18" s="87" t="b">
        <v>0</v>
      </c>
      <c r="AJ18" s="87" t="b">
        <v>0</v>
      </c>
      <c r="AK18" s="87" t="b">
        <v>0</v>
      </c>
      <c r="AL18" s="4" cm="1">
        <f t="array" ref="AL18">SUMPRODUCT(
--(G18:AK18=FALSE),
--(ISNA(MATCH(G$5:AK$5,'holiday list'!A:A,0)))
)</f>
        <v>26</v>
      </c>
      <c r="AM18" s="4">
        <f t="shared" si="1"/>
        <v>0</v>
      </c>
      <c r="AN18" s="89">
        <f t="shared" si="2"/>
        <v>0</v>
      </c>
      <c r="BD18" s="2" t="s">
        <v>143</v>
      </c>
      <c r="BE18" s="2">
        <v>2037</v>
      </c>
    </row>
    <row r="19" spans="1:57" x14ac:dyDescent="0.35">
      <c r="A19" s="5">
        <v>14</v>
      </c>
      <c r="B19" s="18" t="s">
        <v>174</v>
      </c>
      <c r="C19" s="18" t="s">
        <v>57</v>
      </c>
      <c r="D19" s="97" t="s">
        <v>53</v>
      </c>
      <c r="E19" s="98" t="s">
        <v>45</v>
      </c>
      <c r="F19" s="99" t="s">
        <v>48</v>
      </c>
      <c r="G19" s="87" t="b">
        <v>0</v>
      </c>
      <c r="H19" s="87" t="b">
        <v>0</v>
      </c>
      <c r="I19" s="87" t="b">
        <v>0</v>
      </c>
      <c r="J19" s="87" t="b">
        <v>0</v>
      </c>
      <c r="K19" s="87" t="b">
        <v>0</v>
      </c>
      <c r="L19" s="93" t="b">
        <v>0</v>
      </c>
      <c r="M19" s="91" t="b">
        <v>0</v>
      </c>
      <c r="N19" s="87" t="b">
        <v>0</v>
      </c>
      <c r="O19" s="87" t="b">
        <v>0</v>
      </c>
      <c r="P19" s="87" t="b">
        <v>0</v>
      </c>
      <c r="Q19" s="87" t="b">
        <v>0</v>
      </c>
      <c r="R19" s="87" t="b">
        <v>0</v>
      </c>
      <c r="S19" s="87" t="b">
        <v>0</v>
      </c>
      <c r="T19" s="87" t="b">
        <v>0</v>
      </c>
      <c r="U19" s="87" t="b">
        <v>0</v>
      </c>
      <c r="V19" s="87" t="b">
        <v>0</v>
      </c>
      <c r="W19" s="87" t="b">
        <v>0</v>
      </c>
      <c r="X19" s="87" t="b">
        <v>0</v>
      </c>
      <c r="Y19" s="87" t="b">
        <v>0</v>
      </c>
      <c r="Z19" s="87" t="b">
        <v>0</v>
      </c>
      <c r="AA19" s="87" t="b">
        <v>0</v>
      </c>
      <c r="AB19" s="87" t="b">
        <v>0</v>
      </c>
      <c r="AC19" s="87" t="b">
        <v>0</v>
      </c>
      <c r="AD19" s="87" t="b">
        <v>0</v>
      </c>
      <c r="AE19" s="87" t="b">
        <v>0</v>
      </c>
      <c r="AF19" s="87" t="b">
        <v>0</v>
      </c>
      <c r="AG19" s="87" t="b">
        <v>0</v>
      </c>
      <c r="AH19" s="87" t="b">
        <v>0</v>
      </c>
      <c r="AI19" s="87" t="b">
        <v>0</v>
      </c>
      <c r="AJ19" s="87" t="b">
        <v>0</v>
      </c>
      <c r="AK19" s="87" t="b">
        <v>0</v>
      </c>
      <c r="AL19" s="4" cm="1">
        <f t="array" ref="AL19">SUMPRODUCT(
--(G19:AK19=FALSE),
--(ISNA(MATCH(G$5:AK$5,'holiday list'!A:A,0)))
)</f>
        <v>26</v>
      </c>
      <c r="AM19" s="4">
        <f t="shared" si="1"/>
        <v>0</v>
      </c>
      <c r="AN19" s="89">
        <f t="shared" si="2"/>
        <v>0</v>
      </c>
      <c r="BD19" s="2" t="s">
        <v>136</v>
      </c>
      <c r="BE19" s="2" t="s">
        <v>136</v>
      </c>
    </row>
    <row r="20" spans="1:57" x14ac:dyDescent="0.35">
      <c r="A20" s="5">
        <v>15</v>
      </c>
      <c r="B20" s="17" t="s">
        <v>58</v>
      </c>
      <c r="C20" s="18" t="s">
        <v>57</v>
      </c>
      <c r="D20" s="97" t="s">
        <v>53</v>
      </c>
      <c r="E20" s="98" t="s">
        <v>45</v>
      </c>
      <c r="F20" s="99" t="s">
        <v>48</v>
      </c>
      <c r="G20" s="87" t="b">
        <v>0</v>
      </c>
      <c r="H20" s="87" t="b">
        <v>0</v>
      </c>
      <c r="I20" s="87" t="b">
        <v>0</v>
      </c>
      <c r="J20" s="87" t="b">
        <v>0</v>
      </c>
      <c r="K20" s="87" t="b">
        <v>0</v>
      </c>
      <c r="L20" s="93" t="b">
        <v>0</v>
      </c>
      <c r="M20" s="91" t="b">
        <v>0</v>
      </c>
      <c r="N20" s="87" t="b">
        <v>0</v>
      </c>
      <c r="O20" s="87" t="b">
        <v>0</v>
      </c>
      <c r="P20" s="87" t="b">
        <v>0</v>
      </c>
      <c r="Q20" s="87" t="b">
        <v>0</v>
      </c>
      <c r="R20" s="87" t="b">
        <v>0</v>
      </c>
      <c r="S20" s="87" t="b">
        <v>0</v>
      </c>
      <c r="T20" s="87" t="b">
        <v>0</v>
      </c>
      <c r="U20" s="87" t="b">
        <v>0</v>
      </c>
      <c r="V20" s="87" t="b">
        <v>0</v>
      </c>
      <c r="W20" s="87" t="b">
        <v>0</v>
      </c>
      <c r="X20" s="87" t="b">
        <v>0</v>
      </c>
      <c r="Y20" s="87" t="b">
        <v>0</v>
      </c>
      <c r="Z20" s="87" t="b">
        <v>0</v>
      </c>
      <c r="AA20" s="87" t="b">
        <v>0</v>
      </c>
      <c r="AB20" s="87" t="b">
        <v>0</v>
      </c>
      <c r="AC20" s="87" t="b">
        <v>0</v>
      </c>
      <c r="AD20" s="87" t="b">
        <v>0</v>
      </c>
      <c r="AE20" s="87" t="b">
        <v>0</v>
      </c>
      <c r="AF20" s="87" t="b">
        <v>0</v>
      </c>
      <c r="AG20" s="87" t="b">
        <v>0</v>
      </c>
      <c r="AH20" s="87" t="b">
        <v>0</v>
      </c>
      <c r="AI20" s="87" t="b">
        <v>0</v>
      </c>
      <c r="AJ20" s="87" t="b">
        <v>0</v>
      </c>
      <c r="AK20" s="87" t="b">
        <v>0</v>
      </c>
      <c r="AL20" s="4" cm="1">
        <f t="array" ref="AL20">SUMPRODUCT(
--(G20:AK20=FALSE),
--(ISNA(MATCH(G$5:AK$5,'holiday list'!A:A,0)))
)</f>
        <v>26</v>
      </c>
      <c r="AM20" s="4">
        <f t="shared" si="1"/>
        <v>0</v>
      </c>
      <c r="AN20" s="89">
        <f t="shared" si="2"/>
        <v>0</v>
      </c>
    </row>
    <row r="21" spans="1:57" x14ac:dyDescent="0.35">
      <c r="A21" s="5">
        <v>16</v>
      </c>
      <c r="B21" s="18" t="s">
        <v>59</v>
      </c>
      <c r="C21" s="18" t="s">
        <v>175</v>
      </c>
      <c r="D21" s="97" t="s">
        <v>53</v>
      </c>
      <c r="E21" s="98" t="s">
        <v>45</v>
      </c>
      <c r="F21" s="99" t="s">
        <v>48</v>
      </c>
      <c r="G21" s="87" t="b">
        <v>0</v>
      </c>
      <c r="H21" s="87" t="b">
        <v>0</v>
      </c>
      <c r="I21" s="87" t="b">
        <v>0</v>
      </c>
      <c r="J21" s="87" t="b">
        <v>0</v>
      </c>
      <c r="K21" s="87" t="b">
        <v>0</v>
      </c>
      <c r="L21" s="93" t="b">
        <v>0</v>
      </c>
      <c r="M21" s="91" t="b">
        <v>0</v>
      </c>
      <c r="N21" s="87" t="b">
        <v>0</v>
      </c>
      <c r="O21" s="87" t="b">
        <v>0</v>
      </c>
      <c r="P21" s="87" t="b">
        <v>0</v>
      </c>
      <c r="Q21" s="87" t="b">
        <v>0</v>
      </c>
      <c r="R21" s="87" t="b">
        <v>0</v>
      </c>
      <c r="S21" s="87" t="b">
        <v>0</v>
      </c>
      <c r="T21" s="87" t="b">
        <v>0</v>
      </c>
      <c r="U21" s="87" t="b">
        <v>0</v>
      </c>
      <c r="V21" s="87" t="b">
        <v>0</v>
      </c>
      <c r="W21" s="87" t="b">
        <v>0</v>
      </c>
      <c r="X21" s="87" t="b">
        <v>0</v>
      </c>
      <c r="Y21" s="87" t="b">
        <v>0</v>
      </c>
      <c r="Z21" s="87" t="b">
        <v>0</v>
      </c>
      <c r="AA21" s="87" t="b">
        <v>0</v>
      </c>
      <c r="AB21" s="87" t="b">
        <v>0</v>
      </c>
      <c r="AC21" s="87" t="b">
        <v>0</v>
      </c>
      <c r="AD21" s="87" t="b">
        <v>0</v>
      </c>
      <c r="AE21" s="87" t="b">
        <v>0</v>
      </c>
      <c r="AF21" s="87" t="b">
        <v>0</v>
      </c>
      <c r="AG21" s="87" t="b">
        <v>0</v>
      </c>
      <c r="AH21" s="87" t="b">
        <v>0</v>
      </c>
      <c r="AI21" s="87" t="b">
        <v>0</v>
      </c>
      <c r="AJ21" s="87" t="b">
        <v>0</v>
      </c>
      <c r="AK21" s="87" t="b">
        <v>0</v>
      </c>
      <c r="AL21" s="4" cm="1">
        <f t="array" ref="AL21">SUMPRODUCT(
--(G21:AK21=FALSE),
--(ISNA(MATCH(G$5:AK$5,'holiday list'!A:A,0)))
)</f>
        <v>26</v>
      </c>
      <c r="AM21" s="4">
        <f t="shared" si="1"/>
        <v>0</v>
      </c>
      <c r="AN21" s="89">
        <f t="shared" si="2"/>
        <v>0</v>
      </c>
    </row>
    <row r="22" spans="1:57" ht="15" thickBot="1" x14ac:dyDescent="0.4">
      <c r="A22" s="5">
        <v>17</v>
      </c>
      <c r="B22" s="21" t="s">
        <v>60</v>
      </c>
      <c r="C22" s="21" t="s">
        <v>175</v>
      </c>
      <c r="D22" s="100" t="s">
        <v>42</v>
      </c>
      <c r="E22" s="101" t="s">
        <v>45</v>
      </c>
      <c r="F22" s="102" t="s">
        <v>48</v>
      </c>
      <c r="G22" s="87" t="b">
        <v>0</v>
      </c>
      <c r="H22" s="87" t="b">
        <v>0</v>
      </c>
      <c r="I22" s="87" t="b">
        <v>0</v>
      </c>
      <c r="J22" s="87" t="b">
        <v>0</v>
      </c>
      <c r="K22" s="87" t="b">
        <v>0</v>
      </c>
      <c r="L22" s="93" t="b">
        <v>0</v>
      </c>
      <c r="M22" s="91" t="b">
        <v>0</v>
      </c>
      <c r="N22" s="87" t="b">
        <v>0</v>
      </c>
      <c r="O22" s="87" t="b">
        <v>0</v>
      </c>
      <c r="P22" s="87" t="b">
        <v>0</v>
      </c>
      <c r="Q22" s="87" t="b">
        <v>0</v>
      </c>
      <c r="R22" s="87" t="b">
        <v>0</v>
      </c>
      <c r="S22" s="87" t="b">
        <v>0</v>
      </c>
      <c r="T22" s="87" t="b">
        <v>0</v>
      </c>
      <c r="U22" s="87" t="b">
        <v>0</v>
      </c>
      <c r="V22" s="87" t="b">
        <v>0</v>
      </c>
      <c r="W22" s="87" t="b">
        <v>0</v>
      </c>
      <c r="X22" s="87" t="b">
        <v>0</v>
      </c>
      <c r="Y22" s="87" t="b">
        <v>0</v>
      </c>
      <c r="Z22" s="87" t="b">
        <v>0</v>
      </c>
      <c r="AA22" s="87" t="b">
        <v>0</v>
      </c>
      <c r="AB22" s="87" t="b">
        <v>0</v>
      </c>
      <c r="AC22" s="87" t="b">
        <v>0</v>
      </c>
      <c r="AD22" s="87" t="b">
        <v>0</v>
      </c>
      <c r="AE22" s="87" t="b">
        <v>0</v>
      </c>
      <c r="AF22" s="87" t="b">
        <v>0</v>
      </c>
      <c r="AG22" s="87" t="b">
        <v>0</v>
      </c>
      <c r="AH22" s="87" t="b">
        <v>0</v>
      </c>
      <c r="AI22" s="87" t="b">
        <v>0</v>
      </c>
      <c r="AJ22" s="87" t="b">
        <v>0</v>
      </c>
      <c r="AK22" s="87" t="b">
        <v>0</v>
      </c>
      <c r="AL22" s="4" cm="1">
        <f t="array" ref="AL22">SUMPRODUCT(
--(G22:AK22=FALSE),
--(ISNA(MATCH(G$5:AK$5,'holiday list'!A:A,0)))
)</f>
        <v>26</v>
      </c>
      <c r="AM22" s="4">
        <f t="shared" si="1"/>
        <v>0</v>
      </c>
      <c r="AN22" s="89">
        <f t="shared" si="2"/>
        <v>0</v>
      </c>
    </row>
    <row r="23" spans="1:57" ht="15" thickBot="1" x14ac:dyDescent="0.4">
      <c r="A23" s="5">
        <v>18</v>
      </c>
      <c r="B23" s="19" t="s">
        <v>61</v>
      </c>
      <c r="C23" s="21" t="s">
        <v>175</v>
      </c>
      <c r="D23" s="100" t="s">
        <v>42</v>
      </c>
      <c r="E23" s="101" t="s">
        <v>45</v>
      </c>
      <c r="F23" s="102" t="s">
        <v>48</v>
      </c>
      <c r="G23" s="87" t="b">
        <v>0</v>
      </c>
      <c r="H23" s="87" t="b">
        <v>0</v>
      </c>
      <c r="I23" s="87" t="b">
        <v>0</v>
      </c>
      <c r="J23" s="87" t="b">
        <v>0</v>
      </c>
      <c r="K23" s="87" t="b">
        <v>0</v>
      </c>
      <c r="L23" s="93" t="b">
        <v>0</v>
      </c>
      <c r="M23" s="91" t="b">
        <v>0</v>
      </c>
      <c r="N23" s="87" t="b">
        <v>0</v>
      </c>
      <c r="O23" s="87" t="b">
        <v>0</v>
      </c>
      <c r="P23" s="87" t="b">
        <v>0</v>
      </c>
      <c r="Q23" s="87" t="b">
        <v>0</v>
      </c>
      <c r="R23" s="87" t="b">
        <v>0</v>
      </c>
      <c r="S23" s="87" t="b">
        <v>0</v>
      </c>
      <c r="T23" s="87" t="b">
        <v>0</v>
      </c>
      <c r="U23" s="87" t="b">
        <v>0</v>
      </c>
      <c r="V23" s="87" t="b">
        <v>0</v>
      </c>
      <c r="W23" s="87" t="b">
        <v>0</v>
      </c>
      <c r="X23" s="87" t="b">
        <v>0</v>
      </c>
      <c r="Y23" s="87" t="b">
        <v>0</v>
      </c>
      <c r="Z23" s="87" t="b">
        <v>0</v>
      </c>
      <c r="AA23" s="87" t="b">
        <v>0</v>
      </c>
      <c r="AB23" s="87" t="b">
        <v>0</v>
      </c>
      <c r="AC23" s="87" t="b">
        <v>0</v>
      </c>
      <c r="AD23" s="87" t="b">
        <v>0</v>
      </c>
      <c r="AE23" s="87" t="b">
        <v>0</v>
      </c>
      <c r="AF23" s="87" t="b">
        <v>0</v>
      </c>
      <c r="AG23" s="87" t="b">
        <v>0</v>
      </c>
      <c r="AH23" s="87" t="b">
        <v>0</v>
      </c>
      <c r="AI23" s="87" t="b">
        <v>0</v>
      </c>
      <c r="AJ23" s="87" t="b">
        <v>0</v>
      </c>
      <c r="AK23" s="87" t="b">
        <v>0</v>
      </c>
      <c r="AL23" s="4" cm="1">
        <f t="array" ref="AL23">SUMPRODUCT(
--(G23:AK23=FALSE),
--(ISNA(MATCH(G$5:AK$5,'holiday list'!A:A,0)))
)</f>
        <v>26</v>
      </c>
      <c r="AM23" s="4">
        <f t="shared" si="1"/>
        <v>0</v>
      </c>
      <c r="AN23" s="89">
        <f t="shared" si="2"/>
        <v>0</v>
      </c>
    </row>
    <row r="24" spans="1:57" x14ac:dyDescent="0.35">
      <c r="A24" s="5">
        <v>19</v>
      </c>
      <c r="B24" s="17" t="s">
        <v>63</v>
      </c>
      <c r="C24" s="18" t="s">
        <v>62</v>
      </c>
      <c r="D24" s="97" t="s">
        <v>42</v>
      </c>
      <c r="E24" s="98" t="s">
        <v>45</v>
      </c>
      <c r="F24" s="99" t="s">
        <v>48</v>
      </c>
      <c r="G24" s="87" t="b">
        <v>0</v>
      </c>
      <c r="H24" s="87" t="b">
        <v>0</v>
      </c>
      <c r="I24" s="87" t="b">
        <v>0</v>
      </c>
      <c r="J24" s="87" t="b">
        <v>0</v>
      </c>
      <c r="K24" s="87" t="b">
        <v>0</v>
      </c>
      <c r="L24" s="87" t="b">
        <v>0</v>
      </c>
      <c r="M24" s="87" t="b">
        <v>0</v>
      </c>
      <c r="N24" s="87" t="b">
        <v>0</v>
      </c>
      <c r="O24" s="87" t="b">
        <v>0</v>
      </c>
      <c r="P24" s="87" t="b">
        <v>0</v>
      </c>
      <c r="Q24" s="87" t="b">
        <v>0</v>
      </c>
      <c r="R24" s="87" t="b">
        <v>0</v>
      </c>
      <c r="S24" s="87" t="b">
        <v>0</v>
      </c>
      <c r="T24" s="87" t="b">
        <v>0</v>
      </c>
      <c r="U24" s="87" t="b">
        <v>0</v>
      </c>
      <c r="V24" s="87" t="b">
        <v>0</v>
      </c>
      <c r="W24" s="87" t="b">
        <v>0</v>
      </c>
      <c r="X24" s="87" t="b">
        <v>0</v>
      </c>
      <c r="Y24" s="87" t="b">
        <v>0</v>
      </c>
      <c r="Z24" s="87" t="b">
        <v>0</v>
      </c>
      <c r="AA24" s="87" t="b">
        <v>0</v>
      </c>
      <c r="AB24" s="87" t="b">
        <v>0</v>
      </c>
      <c r="AC24" s="87" t="b">
        <v>0</v>
      </c>
      <c r="AD24" s="87" t="b">
        <v>0</v>
      </c>
      <c r="AE24" s="87" t="b">
        <v>0</v>
      </c>
      <c r="AF24" s="87" t="b">
        <v>0</v>
      </c>
      <c r="AG24" s="87" t="b">
        <v>0</v>
      </c>
      <c r="AH24" s="87" t="b">
        <v>0</v>
      </c>
      <c r="AI24" s="87" t="b">
        <v>0</v>
      </c>
      <c r="AJ24" s="87" t="b">
        <v>0</v>
      </c>
      <c r="AK24" s="87" t="b">
        <v>0</v>
      </c>
      <c r="AL24" s="4" cm="1">
        <f t="array" ref="AL24">SUMPRODUCT(
--(G24:AK24=FALSE),
--(ISNA(MATCH(G$5:AK$5,'holiday list'!A:A,0)))
)</f>
        <v>26</v>
      </c>
      <c r="AM24" s="4">
        <f t="shared" si="1"/>
        <v>0</v>
      </c>
      <c r="AN24" s="89">
        <f t="shared" si="2"/>
        <v>0</v>
      </c>
    </row>
    <row r="25" spans="1:57" x14ac:dyDescent="0.35">
      <c r="A25" s="5">
        <v>20</v>
      </c>
      <c r="B25" s="18" t="s">
        <v>17</v>
      </c>
      <c r="C25" s="18" t="s">
        <v>64</v>
      </c>
      <c r="D25" s="97" t="s">
        <v>42</v>
      </c>
      <c r="E25" s="98" t="s">
        <v>43</v>
      </c>
      <c r="F25" s="99" t="s">
        <v>48</v>
      </c>
      <c r="G25" s="87" t="b">
        <v>0</v>
      </c>
      <c r="H25" s="87" t="b">
        <v>0</v>
      </c>
      <c r="I25" s="87" t="b">
        <v>0</v>
      </c>
      <c r="J25" s="87" t="b">
        <v>0</v>
      </c>
      <c r="K25" s="87" t="b">
        <v>0</v>
      </c>
      <c r="L25" s="87" t="b">
        <v>0</v>
      </c>
      <c r="M25" s="87" t="b">
        <v>0</v>
      </c>
      <c r="N25" s="87" t="b">
        <v>0</v>
      </c>
      <c r="O25" s="87" t="b">
        <v>0</v>
      </c>
      <c r="P25" s="87" t="b">
        <v>0</v>
      </c>
      <c r="Q25" s="87" t="b">
        <v>0</v>
      </c>
      <c r="R25" s="87" t="b">
        <v>0</v>
      </c>
      <c r="S25" s="87" t="b">
        <v>0</v>
      </c>
      <c r="T25" s="87" t="b">
        <v>0</v>
      </c>
      <c r="U25" s="87" t="b">
        <v>0</v>
      </c>
      <c r="V25" s="87" t="b">
        <v>0</v>
      </c>
      <c r="W25" s="87" t="b">
        <v>0</v>
      </c>
      <c r="X25" s="87" t="b">
        <v>0</v>
      </c>
      <c r="Y25" s="87" t="b">
        <v>0</v>
      </c>
      <c r="Z25" s="87" t="b">
        <v>0</v>
      </c>
      <c r="AA25" s="87" t="b">
        <v>0</v>
      </c>
      <c r="AB25" s="87" t="b">
        <v>0</v>
      </c>
      <c r="AC25" s="87" t="b">
        <v>0</v>
      </c>
      <c r="AD25" s="87" t="b">
        <v>0</v>
      </c>
      <c r="AE25" s="87" t="b">
        <v>0</v>
      </c>
      <c r="AF25" s="87" t="b">
        <v>0</v>
      </c>
      <c r="AG25" s="87" t="b">
        <v>0</v>
      </c>
      <c r="AH25" s="87" t="b">
        <v>0</v>
      </c>
      <c r="AI25" s="87" t="b">
        <v>0</v>
      </c>
      <c r="AJ25" s="87" t="b">
        <v>0</v>
      </c>
      <c r="AK25" s="87" t="b">
        <v>0</v>
      </c>
      <c r="AL25" s="4" cm="1">
        <f t="array" ref="AL25">SUMPRODUCT(
--(G25:AK25=FALSE),
--(ISNA(MATCH(G$5:AK$5,'holiday list'!A:A,0)))
)</f>
        <v>26</v>
      </c>
      <c r="AM25" s="4">
        <f t="shared" si="1"/>
        <v>0</v>
      </c>
      <c r="AN25" s="89">
        <f t="shared" si="2"/>
        <v>0</v>
      </c>
    </row>
    <row r="26" spans="1:57" x14ac:dyDescent="0.35">
      <c r="A26" s="5">
        <v>21</v>
      </c>
      <c r="B26" s="18" t="s">
        <v>132</v>
      </c>
      <c r="C26" s="18" t="s">
        <v>64</v>
      </c>
      <c r="D26" s="97" t="s">
        <v>53</v>
      </c>
      <c r="E26" s="98" t="s">
        <v>43</v>
      </c>
      <c r="F26" s="99" t="s">
        <v>48</v>
      </c>
      <c r="G26" s="87" t="b">
        <v>0</v>
      </c>
      <c r="H26" s="87" t="b">
        <v>0</v>
      </c>
      <c r="I26" s="87" t="b">
        <v>0</v>
      </c>
      <c r="J26" s="87" t="b">
        <v>0</v>
      </c>
      <c r="K26" s="87" t="b">
        <v>0</v>
      </c>
      <c r="L26" s="87" t="b">
        <v>0</v>
      </c>
      <c r="M26" s="87" t="b">
        <v>0</v>
      </c>
      <c r="N26" s="87" t="b">
        <v>0</v>
      </c>
      <c r="O26" s="87" t="b">
        <v>0</v>
      </c>
      <c r="P26" s="87" t="b">
        <v>0</v>
      </c>
      <c r="Q26" s="87" t="b">
        <v>0</v>
      </c>
      <c r="R26" s="87" t="b">
        <v>0</v>
      </c>
      <c r="S26" s="87" t="b">
        <v>0</v>
      </c>
      <c r="T26" s="87" t="b">
        <v>0</v>
      </c>
      <c r="U26" s="87" t="b">
        <v>0</v>
      </c>
      <c r="V26" s="87" t="b">
        <v>0</v>
      </c>
      <c r="W26" s="87" t="b">
        <v>0</v>
      </c>
      <c r="X26" s="87" t="b">
        <v>0</v>
      </c>
      <c r="Y26" s="87" t="b">
        <v>0</v>
      </c>
      <c r="Z26" s="87" t="b">
        <v>0</v>
      </c>
      <c r="AA26" s="87" t="b">
        <v>0</v>
      </c>
      <c r="AB26" s="87" t="b">
        <v>0</v>
      </c>
      <c r="AC26" s="87" t="b">
        <v>0</v>
      </c>
      <c r="AD26" s="87" t="b">
        <v>0</v>
      </c>
      <c r="AE26" s="87" t="b">
        <v>0</v>
      </c>
      <c r="AF26" s="87" t="b">
        <v>0</v>
      </c>
      <c r="AG26" s="87" t="b">
        <v>0</v>
      </c>
      <c r="AH26" s="87" t="b">
        <v>0</v>
      </c>
      <c r="AI26" s="87" t="b">
        <v>0</v>
      </c>
      <c r="AJ26" s="87" t="b">
        <v>0</v>
      </c>
      <c r="AK26" s="87" t="b">
        <v>0</v>
      </c>
      <c r="AL26" s="4" cm="1">
        <f t="array" ref="AL26">SUMPRODUCT(
--(G26:AK26=FALSE),
--(ISNA(MATCH(G$5:AK$5,'holiday list'!A:A,0)))
)</f>
        <v>26</v>
      </c>
      <c r="AM26" s="4">
        <f t="shared" si="1"/>
        <v>0</v>
      </c>
      <c r="AN26" s="89">
        <f t="shared" si="2"/>
        <v>0</v>
      </c>
    </row>
    <row r="27" spans="1:57" x14ac:dyDescent="0.35">
      <c r="A27" s="5">
        <v>22</v>
      </c>
      <c r="B27" s="17" t="s">
        <v>32</v>
      </c>
      <c r="C27" s="18" t="s">
        <v>64</v>
      </c>
      <c r="D27" s="97" t="s">
        <v>53</v>
      </c>
      <c r="E27" s="98" t="s">
        <v>45</v>
      </c>
      <c r="F27" s="99" t="s">
        <v>48</v>
      </c>
      <c r="G27" s="87" t="b">
        <v>0</v>
      </c>
      <c r="H27" s="87" t="b">
        <v>0</v>
      </c>
      <c r="I27" s="87" t="b">
        <v>0</v>
      </c>
      <c r="J27" s="87" t="b">
        <v>0</v>
      </c>
      <c r="K27" s="87" t="b">
        <v>0</v>
      </c>
      <c r="L27" s="87" t="b">
        <v>0</v>
      </c>
      <c r="M27" s="87" t="b">
        <v>0</v>
      </c>
      <c r="N27" s="87" t="b">
        <v>0</v>
      </c>
      <c r="O27" s="87" t="b">
        <v>0</v>
      </c>
      <c r="P27" s="87" t="b">
        <v>0</v>
      </c>
      <c r="Q27" s="87" t="b">
        <v>0</v>
      </c>
      <c r="R27" s="87" t="b">
        <v>0</v>
      </c>
      <c r="S27" s="87" t="b">
        <v>0</v>
      </c>
      <c r="T27" s="87" t="b">
        <v>0</v>
      </c>
      <c r="U27" s="87" t="b">
        <v>0</v>
      </c>
      <c r="V27" s="87" t="b">
        <v>0</v>
      </c>
      <c r="W27" s="87" t="b">
        <v>0</v>
      </c>
      <c r="X27" s="87" t="b">
        <v>0</v>
      </c>
      <c r="Y27" s="87" t="b">
        <v>0</v>
      </c>
      <c r="Z27" s="87" t="b">
        <v>0</v>
      </c>
      <c r="AA27" s="87" t="b">
        <v>0</v>
      </c>
      <c r="AB27" s="87" t="b">
        <v>0</v>
      </c>
      <c r="AC27" s="87" t="b">
        <v>0</v>
      </c>
      <c r="AD27" s="87" t="b">
        <v>0</v>
      </c>
      <c r="AE27" s="87" t="b">
        <v>0</v>
      </c>
      <c r="AF27" s="87" t="b">
        <v>0</v>
      </c>
      <c r="AG27" s="87" t="b">
        <v>0</v>
      </c>
      <c r="AH27" s="87" t="b">
        <v>0</v>
      </c>
      <c r="AI27" s="87" t="b">
        <v>0</v>
      </c>
      <c r="AJ27" s="87" t="b">
        <v>0</v>
      </c>
      <c r="AK27" s="87" t="b">
        <v>0</v>
      </c>
      <c r="AL27" s="4" cm="1">
        <f t="array" ref="AL27">SUMPRODUCT(
--(G27:AK27=FALSE),
--(ISNA(MATCH(G$5:AK$5,'holiday list'!A:A,0)))
)</f>
        <v>26</v>
      </c>
      <c r="AM27" s="4">
        <f t="shared" si="1"/>
        <v>0</v>
      </c>
      <c r="AN27" s="89">
        <f t="shared" si="2"/>
        <v>0</v>
      </c>
    </row>
    <row r="28" spans="1:57" x14ac:dyDescent="0.35">
      <c r="A28" s="5">
        <v>23</v>
      </c>
      <c r="B28" s="17" t="s">
        <v>66</v>
      </c>
      <c r="C28" s="17" t="s">
        <v>65</v>
      </c>
      <c r="D28" s="97" t="s">
        <v>42</v>
      </c>
      <c r="E28" s="98" t="s">
        <v>45</v>
      </c>
      <c r="F28" s="99" t="s">
        <v>48</v>
      </c>
      <c r="G28" s="87" t="b">
        <v>0</v>
      </c>
      <c r="H28" s="87" t="b">
        <v>0</v>
      </c>
      <c r="I28" s="87" t="b">
        <v>0</v>
      </c>
      <c r="J28" s="87" t="b">
        <v>0</v>
      </c>
      <c r="K28" s="87" t="b">
        <v>0</v>
      </c>
      <c r="L28" s="87" t="b">
        <v>0</v>
      </c>
      <c r="M28" s="87" t="b">
        <v>0</v>
      </c>
      <c r="N28" s="87" t="b">
        <v>0</v>
      </c>
      <c r="O28" s="87" t="b">
        <v>0</v>
      </c>
      <c r="P28" s="87" t="b">
        <v>0</v>
      </c>
      <c r="Q28" s="87" t="b">
        <v>0</v>
      </c>
      <c r="R28" s="87" t="b">
        <v>0</v>
      </c>
      <c r="S28" s="87" t="b">
        <v>0</v>
      </c>
      <c r="T28" s="87" t="b">
        <v>0</v>
      </c>
      <c r="U28" s="87" t="b">
        <v>0</v>
      </c>
      <c r="V28" s="87" t="b">
        <v>0</v>
      </c>
      <c r="W28" s="87" t="b">
        <v>0</v>
      </c>
      <c r="X28" s="87" t="b">
        <v>0</v>
      </c>
      <c r="Y28" s="87" t="b">
        <v>0</v>
      </c>
      <c r="Z28" s="87" t="b">
        <v>0</v>
      </c>
      <c r="AA28" s="87" t="b">
        <v>0</v>
      </c>
      <c r="AB28" s="87" t="b">
        <v>0</v>
      </c>
      <c r="AC28" s="87" t="b">
        <v>0</v>
      </c>
      <c r="AD28" s="87" t="b">
        <v>0</v>
      </c>
      <c r="AE28" s="87" t="b">
        <v>0</v>
      </c>
      <c r="AF28" s="87" t="b">
        <v>0</v>
      </c>
      <c r="AG28" s="87" t="b">
        <v>0</v>
      </c>
      <c r="AH28" s="87" t="b">
        <v>0</v>
      </c>
      <c r="AI28" s="87" t="b">
        <v>0</v>
      </c>
      <c r="AJ28" s="87" t="b">
        <v>0</v>
      </c>
      <c r="AK28" s="87" t="b">
        <v>0</v>
      </c>
      <c r="AL28" s="4" cm="1">
        <f t="array" ref="AL28">SUMPRODUCT(
--(G28:AK28=FALSE),
--(ISNA(MATCH(G$5:AK$5,'holiday list'!A:A,0)))
)</f>
        <v>26</v>
      </c>
      <c r="AM28" s="4">
        <f t="shared" si="1"/>
        <v>0</v>
      </c>
      <c r="AN28" s="89">
        <f t="shared" si="2"/>
        <v>0</v>
      </c>
    </row>
    <row r="29" spans="1:57" ht="15" thickBot="1" x14ac:dyDescent="0.4">
      <c r="A29" s="5">
        <v>24</v>
      </c>
      <c r="B29" s="17" t="s">
        <v>36</v>
      </c>
      <c r="C29" s="21" t="s">
        <v>67</v>
      </c>
      <c r="D29" s="100" t="s">
        <v>42</v>
      </c>
      <c r="E29" s="101" t="s">
        <v>45</v>
      </c>
      <c r="F29" s="102" t="s">
        <v>48</v>
      </c>
      <c r="G29" s="87" t="b">
        <v>0</v>
      </c>
      <c r="H29" s="87" t="b">
        <v>0</v>
      </c>
      <c r="I29" s="87" t="b">
        <v>0</v>
      </c>
      <c r="J29" s="87" t="b">
        <v>0</v>
      </c>
      <c r="K29" s="87" t="b">
        <v>0</v>
      </c>
      <c r="L29" s="87" t="b">
        <v>0</v>
      </c>
      <c r="M29" s="87" t="b">
        <v>0</v>
      </c>
      <c r="N29" s="87" t="b">
        <v>0</v>
      </c>
      <c r="O29" s="87" t="b">
        <v>0</v>
      </c>
      <c r="P29" s="87" t="b">
        <v>0</v>
      </c>
      <c r="Q29" s="87" t="b">
        <v>0</v>
      </c>
      <c r="R29" s="87" t="b">
        <v>0</v>
      </c>
      <c r="S29" s="87" t="b">
        <v>0</v>
      </c>
      <c r="T29" s="87" t="b">
        <v>0</v>
      </c>
      <c r="U29" s="87" t="b">
        <v>0</v>
      </c>
      <c r="V29" s="87" t="b">
        <v>0</v>
      </c>
      <c r="W29" s="87" t="b">
        <v>0</v>
      </c>
      <c r="X29" s="87" t="b">
        <v>0</v>
      </c>
      <c r="Y29" s="87" t="b">
        <v>0</v>
      </c>
      <c r="Z29" s="87" t="b">
        <v>0</v>
      </c>
      <c r="AA29" s="87" t="b">
        <v>0</v>
      </c>
      <c r="AB29" s="87" t="b">
        <v>0</v>
      </c>
      <c r="AC29" s="87" t="b">
        <v>0</v>
      </c>
      <c r="AD29" s="87" t="b">
        <v>0</v>
      </c>
      <c r="AE29" s="87" t="b">
        <v>0</v>
      </c>
      <c r="AF29" s="87" t="b">
        <v>0</v>
      </c>
      <c r="AG29" s="87" t="b">
        <v>0</v>
      </c>
      <c r="AH29" s="87" t="b">
        <v>0</v>
      </c>
      <c r="AI29" s="87" t="b">
        <v>0</v>
      </c>
      <c r="AJ29" s="87" t="b">
        <v>0</v>
      </c>
      <c r="AK29" s="87" t="b">
        <v>0</v>
      </c>
      <c r="AL29" s="4" cm="1">
        <f t="array" ref="AL29">SUMPRODUCT(
--(G29:AK29=FALSE),
--(ISNA(MATCH(G$5:AK$5,'holiday list'!A:A,0)))
)</f>
        <v>26</v>
      </c>
      <c r="AM29" s="4">
        <f t="shared" si="1"/>
        <v>0</v>
      </c>
      <c r="AN29" s="89">
        <f t="shared" si="2"/>
        <v>0</v>
      </c>
    </row>
    <row r="30" spans="1:57" ht="15" thickBot="1" x14ac:dyDescent="0.4">
      <c r="A30" s="5">
        <v>25</v>
      </c>
      <c r="B30" s="17" t="s">
        <v>68</v>
      </c>
      <c r="C30" s="21" t="s">
        <v>67</v>
      </c>
      <c r="D30" s="100" t="s">
        <v>53</v>
      </c>
      <c r="E30" s="98" t="s">
        <v>45</v>
      </c>
      <c r="F30" s="99" t="s">
        <v>48</v>
      </c>
      <c r="G30" s="87" t="b">
        <v>0</v>
      </c>
      <c r="H30" s="87" t="b">
        <v>0</v>
      </c>
      <c r="I30" s="87" t="b">
        <v>0</v>
      </c>
      <c r="J30" s="87" t="b">
        <v>0</v>
      </c>
      <c r="K30" s="87" t="b">
        <v>0</v>
      </c>
      <c r="L30" s="87" t="b">
        <v>0</v>
      </c>
      <c r="M30" s="87" t="b">
        <v>0</v>
      </c>
      <c r="N30" s="87" t="b">
        <v>0</v>
      </c>
      <c r="O30" s="87" t="b">
        <v>0</v>
      </c>
      <c r="P30" s="87" t="b">
        <v>0</v>
      </c>
      <c r="Q30" s="87" t="b">
        <v>0</v>
      </c>
      <c r="R30" s="87" t="b">
        <v>0</v>
      </c>
      <c r="S30" s="87" t="b">
        <v>0</v>
      </c>
      <c r="T30" s="87" t="b">
        <v>0</v>
      </c>
      <c r="U30" s="87" t="b">
        <v>0</v>
      </c>
      <c r="V30" s="87" t="b">
        <v>0</v>
      </c>
      <c r="W30" s="87" t="b">
        <v>0</v>
      </c>
      <c r="X30" s="87" t="b">
        <v>0</v>
      </c>
      <c r="Y30" s="87" t="b">
        <v>0</v>
      </c>
      <c r="Z30" s="87" t="b">
        <v>0</v>
      </c>
      <c r="AA30" s="87" t="b">
        <v>0</v>
      </c>
      <c r="AB30" s="87" t="b">
        <v>0</v>
      </c>
      <c r="AC30" s="87" t="b">
        <v>0</v>
      </c>
      <c r="AD30" s="87" t="b">
        <v>0</v>
      </c>
      <c r="AE30" s="87" t="b">
        <v>0</v>
      </c>
      <c r="AF30" s="87" t="b">
        <v>0</v>
      </c>
      <c r="AG30" s="87" t="b">
        <v>0</v>
      </c>
      <c r="AH30" s="87" t="b">
        <v>0</v>
      </c>
      <c r="AI30" s="87" t="b">
        <v>0</v>
      </c>
      <c r="AJ30" s="87" t="b">
        <v>0</v>
      </c>
      <c r="AK30" s="87" t="b">
        <v>0</v>
      </c>
      <c r="AL30" s="4" cm="1">
        <f t="array" ref="AL30">SUMPRODUCT(
--(G30:AK30=FALSE),
--(ISNA(MATCH(G$5:AK$5,'holiday list'!A:A,0)))
)</f>
        <v>26</v>
      </c>
      <c r="AM30" s="4">
        <f t="shared" si="1"/>
        <v>0</v>
      </c>
      <c r="AN30" s="89">
        <f t="shared" si="2"/>
        <v>0</v>
      </c>
    </row>
    <row r="31" spans="1:57" ht="15" thickBot="1" x14ac:dyDescent="0.4">
      <c r="A31" s="5">
        <v>26</v>
      </c>
      <c r="B31" s="21" t="s">
        <v>69</v>
      </c>
      <c r="C31" s="21" t="s">
        <v>67</v>
      </c>
      <c r="D31" s="100" t="s">
        <v>53</v>
      </c>
      <c r="E31" s="101" t="s">
        <v>45</v>
      </c>
      <c r="F31" s="102" t="s">
        <v>48</v>
      </c>
      <c r="G31" s="87" t="b">
        <v>0</v>
      </c>
      <c r="H31" s="87" t="b">
        <v>0</v>
      </c>
      <c r="I31" s="87" t="b">
        <v>0</v>
      </c>
      <c r="J31" s="87" t="b">
        <v>0</v>
      </c>
      <c r="K31" s="87" t="b">
        <v>0</v>
      </c>
      <c r="L31" s="87" t="b">
        <v>0</v>
      </c>
      <c r="M31" s="87" t="b">
        <v>0</v>
      </c>
      <c r="N31" s="87" t="b">
        <v>0</v>
      </c>
      <c r="O31" s="87" t="b">
        <v>0</v>
      </c>
      <c r="P31" s="87" t="b">
        <v>0</v>
      </c>
      <c r="Q31" s="87" t="b">
        <v>0</v>
      </c>
      <c r="R31" s="87" t="b">
        <v>0</v>
      </c>
      <c r="S31" s="87" t="b">
        <v>0</v>
      </c>
      <c r="T31" s="87" t="b">
        <v>0</v>
      </c>
      <c r="U31" s="87" t="b">
        <v>0</v>
      </c>
      <c r="V31" s="87" t="b">
        <v>0</v>
      </c>
      <c r="W31" s="87" t="b">
        <v>0</v>
      </c>
      <c r="X31" s="87" t="b">
        <v>0</v>
      </c>
      <c r="Y31" s="87" t="b">
        <v>0</v>
      </c>
      <c r="Z31" s="87" t="b">
        <v>0</v>
      </c>
      <c r="AA31" s="87" t="b">
        <v>0</v>
      </c>
      <c r="AB31" s="87" t="b">
        <v>0</v>
      </c>
      <c r="AC31" s="87" t="b">
        <v>0</v>
      </c>
      <c r="AD31" s="87" t="b">
        <v>0</v>
      </c>
      <c r="AE31" s="87" t="b">
        <v>0</v>
      </c>
      <c r="AF31" s="87" t="b">
        <v>0</v>
      </c>
      <c r="AG31" s="87" t="b">
        <v>0</v>
      </c>
      <c r="AH31" s="87" t="b">
        <v>0</v>
      </c>
      <c r="AI31" s="87" t="b">
        <v>0</v>
      </c>
      <c r="AJ31" s="87" t="b">
        <v>0</v>
      </c>
      <c r="AK31" s="87" t="b">
        <v>0</v>
      </c>
      <c r="AL31" s="4" cm="1">
        <f t="array" ref="AL31">SUMPRODUCT(
--(G31:AK31=FALSE),
--(ISNA(MATCH(G$5:AK$5,'holiday list'!A:A,0)))
)</f>
        <v>26</v>
      </c>
      <c r="AM31" s="4">
        <f t="shared" si="1"/>
        <v>0</v>
      </c>
      <c r="AN31" s="89">
        <f t="shared" si="2"/>
        <v>0</v>
      </c>
    </row>
    <row r="32" spans="1:57" ht="15" thickBot="1" x14ac:dyDescent="0.4">
      <c r="A32" s="5">
        <v>27</v>
      </c>
      <c r="B32" s="21" t="s">
        <v>131</v>
      </c>
      <c r="C32" s="21" t="s">
        <v>67</v>
      </c>
      <c r="D32" s="100" t="s">
        <v>53</v>
      </c>
      <c r="E32" s="101" t="s">
        <v>45</v>
      </c>
      <c r="F32" s="102" t="s">
        <v>48</v>
      </c>
      <c r="G32" s="87" t="b">
        <v>0</v>
      </c>
      <c r="H32" s="87" t="b">
        <v>0</v>
      </c>
      <c r="I32" s="87" t="b">
        <v>0</v>
      </c>
      <c r="J32" s="87" t="b">
        <v>0</v>
      </c>
      <c r="K32" s="87" t="b">
        <v>0</v>
      </c>
      <c r="L32" s="87" t="b">
        <v>0</v>
      </c>
      <c r="M32" s="87" t="b">
        <v>0</v>
      </c>
      <c r="N32" s="87" t="b">
        <v>0</v>
      </c>
      <c r="O32" s="87" t="b">
        <v>0</v>
      </c>
      <c r="P32" s="87" t="b">
        <v>0</v>
      </c>
      <c r="Q32" s="87" t="b">
        <v>0</v>
      </c>
      <c r="R32" s="87" t="b">
        <v>0</v>
      </c>
      <c r="S32" s="87" t="b">
        <v>0</v>
      </c>
      <c r="T32" s="87" t="b">
        <v>0</v>
      </c>
      <c r="U32" s="87" t="b">
        <v>0</v>
      </c>
      <c r="V32" s="87" t="b">
        <v>0</v>
      </c>
      <c r="W32" s="87" t="b">
        <v>0</v>
      </c>
      <c r="X32" s="87" t="b">
        <v>0</v>
      </c>
      <c r="Y32" s="87" t="b">
        <v>0</v>
      </c>
      <c r="Z32" s="87" t="b">
        <v>0</v>
      </c>
      <c r="AA32" s="87" t="b">
        <v>0</v>
      </c>
      <c r="AB32" s="87" t="b">
        <v>0</v>
      </c>
      <c r="AC32" s="87" t="b">
        <v>0</v>
      </c>
      <c r="AD32" s="87" t="b">
        <v>0</v>
      </c>
      <c r="AE32" s="87" t="b">
        <v>0</v>
      </c>
      <c r="AF32" s="87" t="b">
        <v>0</v>
      </c>
      <c r="AG32" s="87" t="b">
        <v>0</v>
      </c>
      <c r="AH32" s="87" t="b">
        <v>0</v>
      </c>
      <c r="AI32" s="87" t="b">
        <v>0</v>
      </c>
      <c r="AJ32" s="87" t="b">
        <v>0</v>
      </c>
      <c r="AK32" s="87" t="b">
        <v>0</v>
      </c>
      <c r="AL32" s="4" cm="1">
        <f t="array" ref="AL32">SUMPRODUCT(
--(G32:AK32=FALSE),
--(ISNA(MATCH(G$5:AK$5,'holiday list'!A:A,0)))
)</f>
        <v>26</v>
      </c>
      <c r="AM32" s="4">
        <f t="shared" si="1"/>
        <v>0</v>
      </c>
      <c r="AN32" s="89">
        <f t="shared" si="2"/>
        <v>0</v>
      </c>
    </row>
    <row r="33" spans="1:40" x14ac:dyDescent="0.35">
      <c r="A33" s="5">
        <v>28</v>
      </c>
      <c r="B33" s="17" t="s">
        <v>72</v>
      </c>
      <c r="C33" s="17" t="s">
        <v>73</v>
      </c>
      <c r="D33" s="97" t="s">
        <v>70</v>
      </c>
      <c r="E33" s="98" t="s">
        <v>45</v>
      </c>
      <c r="F33" s="99" t="s">
        <v>48</v>
      </c>
      <c r="G33" s="87" t="b">
        <v>0</v>
      </c>
      <c r="H33" s="87" t="b">
        <v>0</v>
      </c>
      <c r="I33" s="87" t="b">
        <v>0</v>
      </c>
      <c r="J33" s="87" t="b">
        <v>0</v>
      </c>
      <c r="K33" s="87" t="b">
        <v>0</v>
      </c>
      <c r="L33" s="87" t="b">
        <v>0</v>
      </c>
      <c r="M33" s="87" t="b">
        <v>0</v>
      </c>
      <c r="N33" s="87" t="b">
        <v>0</v>
      </c>
      <c r="O33" s="87" t="b">
        <v>0</v>
      </c>
      <c r="P33" s="87" t="b">
        <v>0</v>
      </c>
      <c r="Q33" s="87" t="b">
        <v>0</v>
      </c>
      <c r="R33" s="87" t="b">
        <v>0</v>
      </c>
      <c r="S33" s="87" t="b">
        <v>0</v>
      </c>
      <c r="T33" s="87" t="b">
        <v>0</v>
      </c>
      <c r="U33" s="87" t="b">
        <v>0</v>
      </c>
      <c r="V33" s="87" t="b">
        <v>0</v>
      </c>
      <c r="W33" s="87" t="b">
        <v>0</v>
      </c>
      <c r="X33" s="87" t="b">
        <v>0</v>
      </c>
      <c r="Y33" s="87" t="b">
        <v>0</v>
      </c>
      <c r="Z33" s="87" t="b">
        <v>0</v>
      </c>
      <c r="AA33" s="87" t="b">
        <v>0</v>
      </c>
      <c r="AB33" s="87" t="b">
        <v>0</v>
      </c>
      <c r="AC33" s="87" t="b">
        <v>0</v>
      </c>
      <c r="AD33" s="87" t="b">
        <v>0</v>
      </c>
      <c r="AE33" s="87" t="b">
        <v>0</v>
      </c>
      <c r="AF33" s="87" t="b">
        <v>0</v>
      </c>
      <c r="AG33" s="87" t="b">
        <v>0</v>
      </c>
      <c r="AH33" s="87" t="b">
        <v>0</v>
      </c>
      <c r="AI33" s="87" t="b">
        <v>0</v>
      </c>
      <c r="AJ33" s="87" t="b">
        <v>0</v>
      </c>
      <c r="AK33" s="87" t="b">
        <v>0</v>
      </c>
      <c r="AL33" s="4" cm="1">
        <f t="array" ref="AL33">SUMPRODUCT(
--(G33:AK33=FALSE),
--(ISNA(MATCH(G$5:AK$5,'holiday list'!A:A,0)))
)</f>
        <v>26</v>
      </c>
      <c r="AM33" s="4">
        <f t="shared" si="1"/>
        <v>0</v>
      </c>
      <c r="AN33" s="89">
        <f t="shared" si="2"/>
        <v>0</v>
      </c>
    </row>
    <row r="34" spans="1:40" x14ac:dyDescent="0.35">
      <c r="A34" s="5">
        <v>29</v>
      </c>
      <c r="B34" s="17" t="s">
        <v>74</v>
      </c>
      <c r="C34" s="17" t="s">
        <v>73</v>
      </c>
      <c r="D34" s="97" t="s">
        <v>42</v>
      </c>
      <c r="E34" s="98" t="s">
        <v>45</v>
      </c>
      <c r="F34" s="99" t="s">
        <v>48</v>
      </c>
      <c r="G34" s="87" t="b">
        <v>0</v>
      </c>
      <c r="H34" s="87" t="b">
        <v>0</v>
      </c>
      <c r="I34" s="87" t="b">
        <v>0</v>
      </c>
      <c r="J34" s="87" t="b">
        <v>0</v>
      </c>
      <c r="K34" s="87" t="b">
        <v>0</v>
      </c>
      <c r="L34" s="87" t="b">
        <v>0</v>
      </c>
      <c r="M34" s="87" t="b">
        <v>0</v>
      </c>
      <c r="N34" s="87" t="b">
        <v>0</v>
      </c>
      <c r="O34" s="87" t="b">
        <v>0</v>
      </c>
      <c r="P34" s="87" t="b">
        <v>0</v>
      </c>
      <c r="Q34" s="87" t="b">
        <v>0</v>
      </c>
      <c r="R34" s="87" t="b">
        <v>0</v>
      </c>
      <c r="S34" s="87" t="b">
        <v>0</v>
      </c>
      <c r="T34" s="87" t="b">
        <v>0</v>
      </c>
      <c r="U34" s="87" t="b">
        <v>0</v>
      </c>
      <c r="V34" s="87" t="b">
        <v>0</v>
      </c>
      <c r="W34" s="87" t="b">
        <v>0</v>
      </c>
      <c r="X34" s="87" t="b">
        <v>0</v>
      </c>
      <c r="Y34" s="87" t="b">
        <v>0</v>
      </c>
      <c r="Z34" s="87" t="b">
        <v>0</v>
      </c>
      <c r="AA34" s="87" t="b">
        <v>0</v>
      </c>
      <c r="AB34" s="87" t="b">
        <v>0</v>
      </c>
      <c r="AC34" s="87" t="b">
        <v>0</v>
      </c>
      <c r="AD34" s="87" t="b">
        <v>0</v>
      </c>
      <c r="AE34" s="87" t="b">
        <v>0</v>
      </c>
      <c r="AF34" s="87" t="b">
        <v>0</v>
      </c>
      <c r="AG34" s="87" t="b">
        <v>0</v>
      </c>
      <c r="AH34" s="87" t="b">
        <v>0</v>
      </c>
      <c r="AI34" s="87" t="b">
        <v>0</v>
      </c>
      <c r="AJ34" s="87" t="b">
        <v>0</v>
      </c>
      <c r="AK34" s="87" t="b">
        <v>0</v>
      </c>
      <c r="AL34" s="4" cm="1">
        <f t="array" ref="AL34">SUMPRODUCT(
--(G34:AK34=FALSE),
--(ISNA(MATCH(G$5:AK$5,'holiday list'!A:A,0)))
)</f>
        <v>26</v>
      </c>
      <c r="AM34" s="4">
        <f t="shared" si="1"/>
        <v>0</v>
      </c>
      <c r="AN34" s="89">
        <f t="shared" si="2"/>
        <v>0</v>
      </c>
    </row>
    <row r="35" spans="1:40" x14ac:dyDescent="0.35">
      <c r="A35" s="5">
        <v>30</v>
      </c>
      <c r="B35" s="17" t="s">
        <v>75</v>
      </c>
      <c r="C35" s="17" t="s">
        <v>76</v>
      </c>
      <c r="D35" s="97" t="s">
        <v>53</v>
      </c>
      <c r="E35" s="98" t="s">
        <v>45</v>
      </c>
      <c r="F35" s="99" t="s">
        <v>48</v>
      </c>
      <c r="G35" s="87" t="b">
        <v>0</v>
      </c>
      <c r="H35" s="87" t="b">
        <v>0</v>
      </c>
      <c r="I35" s="87" t="b">
        <v>0</v>
      </c>
      <c r="J35" s="87" t="b">
        <v>0</v>
      </c>
      <c r="K35" s="87" t="b">
        <v>0</v>
      </c>
      <c r="L35" s="87" t="b">
        <v>0</v>
      </c>
      <c r="M35" s="87" t="b">
        <v>0</v>
      </c>
      <c r="N35" s="87" t="b">
        <v>0</v>
      </c>
      <c r="O35" s="87" t="b">
        <v>0</v>
      </c>
      <c r="P35" s="87" t="b">
        <v>0</v>
      </c>
      <c r="Q35" s="87" t="b">
        <v>0</v>
      </c>
      <c r="R35" s="87" t="b">
        <v>0</v>
      </c>
      <c r="S35" s="87" t="b">
        <v>0</v>
      </c>
      <c r="T35" s="87" t="b">
        <v>0</v>
      </c>
      <c r="U35" s="87" t="b">
        <v>0</v>
      </c>
      <c r="V35" s="87" t="b">
        <v>0</v>
      </c>
      <c r="W35" s="87" t="b">
        <v>0</v>
      </c>
      <c r="X35" s="87" t="b">
        <v>0</v>
      </c>
      <c r="Y35" s="87" t="b">
        <v>0</v>
      </c>
      <c r="Z35" s="87" t="b">
        <v>0</v>
      </c>
      <c r="AA35" s="87" t="b">
        <v>0</v>
      </c>
      <c r="AB35" s="87" t="b">
        <v>0</v>
      </c>
      <c r="AC35" s="87" t="b">
        <v>0</v>
      </c>
      <c r="AD35" s="87" t="b">
        <v>0</v>
      </c>
      <c r="AE35" s="87" t="b">
        <v>0</v>
      </c>
      <c r="AF35" s="87" t="b">
        <v>0</v>
      </c>
      <c r="AG35" s="87" t="b">
        <v>0</v>
      </c>
      <c r="AH35" s="87" t="b">
        <v>0</v>
      </c>
      <c r="AI35" s="87" t="b">
        <v>0</v>
      </c>
      <c r="AJ35" s="87" t="b">
        <v>0</v>
      </c>
      <c r="AK35" s="87" t="b">
        <v>0</v>
      </c>
      <c r="AL35" s="4" cm="1">
        <f t="array" ref="AL35">SUMPRODUCT(
--(G35:AK35=FALSE),
--(ISNA(MATCH(G$5:AK$5,'holiday list'!A:A,0)))
)</f>
        <v>26</v>
      </c>
      <c r="AM35" s="4">
        <f t="shared" si="1"/>
        <v>0</v>
      </c>
      <c r="AN35" s="89">
        <f t="shared" si="2"/>
        <v>0</v>
      </c>
    </row>
    <row r="36" spans="1:40" x14ac:dyDescent="0.35">
      <c r="A36" s="5">
        <v>31</v>
      </c>
      <c r="B36" s="18" t="s">
        <v>29</v>
      </c>
      <c r="C36" s="17" t="s">
        <v>76</v>
      </c>
      <c r="D36" s="97" t="s">
        <v>70</v>
      </c>
      <c r="E36" s="98" t="s">
        <v>45</v>
      </c>
      <c r="F36" s="99" t="s">
        <v>48</v>
      </c>
      <c r="G36" s="87" t="b">
        <v>0</v>
      </c>
      <c r="H36" s="87" t="b">
        <v>0</v>
      </c>
      <c r="I36" s="87" t="b">
        <v>0</v>
      </c>
      <c r="J36" s="87" t="b">
        <v>0</v>
      </c>
      <c r="K36" s="87" t="b">
        <v>0</v>
      </c>
      <c r="L36" s="87" t="b">
        <v>0</v>
      </c>
      <c r="M36" s="87" t="b">
        <v>0</v>
      </c>
      <c r="N36" s="87" t="b">
        <v>0</v>
      </c>
      <c r="O36" s="87" t="b">
        <v>0</v>
      </c>
      <c r="P36" s="87" t="b">
        <v>0</v>
      </c>
      <c r="Q36" s="87" t="b">
        <v>0</v>
      </c>
      <c r="R36" s="87" t="b">
        <v>0</v>
      </c>
      <c r="S36" s="87" t="b">
        <v>0</v>
      </c>
      <c r="T36" s="87" t="b">
        <v>0</v>
      </c>
      <c r="U36" s="87" t="b">
        <v>0</v>
      </c>
      <c r="V36" s="87" t="b">
        <v>0</v>
      </c>
      <c r="W36" s="87" t="b">
        <v>0</v>
      </c>
      <c r="X36" s="87" t="b">
        <v>0</v>
      </c>
      <c r="Y36" s="87" t="b">
        <v>0</v>
      </c>
      <c r="Z36" s="87" t="b">
        <v>0</v>
      </c>
      <c r="AA36" s="87" t="b">
        <v>0</v>
      </c>
      <c r="AB36" s="87" t="b">
        <v>0</v>
      </c>
      <c r="AC36" s="87" t="b">
        <v>0</v>
      </c>
      <c r="AD36" s="87" t="b">
        <v>0</v>
      </c>
      <c r="AE36" s="87" t="b">
        <v>0</v>
      </c>
      <c r="AF36" s="87" t="b">
        <v>0</v>
      </c>
      <c r="AG36" s="87" t="b">
        <v>0</v>
      </c>
      <c r="AH36" s="87" t="b">
        <v>0</v>
      </c>
      <c r="AI36" s="87" t="b">
        <v>0</v>
      </c>
      <c r="AJ36" s="87" t="b">
        <v>0</v>
      </c>
      <c r="AK36" s="87" t="b">
        <v>0</v>
      </c>
      <c r="AL36" s="4" cm="1">
        <f t="array" ref="AL36">SUMPRODUCT(
--(G36:AK36=FALSE),
--(ISNA(MATCH(G$5:AK$5,'holiday list'!A:A,0)))
)</f>
        <v>26</v>
      </c>
      <c r="AM36" s="4">
        <f t="shared" si="1"/>
        <v>0</v>
      </c>
      <c r="AN36" s="89">
        <f t="shared" si="2"/>
        <v>0</v>
      </c>
    </row>
    <row r="37" spans="1:40" x14ac:dyDescent="0.35">
      <c r="A37" s="5">
        <v>32</v>
      </c>
      <c r="B37" s="17" t="s">
        <v>176</v>
      </c>
      <c r="C37" s="17" t="s">
        <v>76</v>
      </c>
      <c r="D37" s="97" t="s">
        <v>53</v>
      </c>
      <c r="E37" s="98" t="s">
        <v>45</v>
      </c>
      <c r="F37" s="99" t="s">
        <v>48</v>
      </c>
      <c r="G37" s="87" t="b">
        <v>0</v>
      </c>
      <c r="H37" s="87" t="b">
        <v>0</v>
      </c>
      <c r="I37" s="87" t="b">
        <v>0</v>
      </c>
      <c r="J37" s="94" t="b">
        <v>0</v>
      </c>
      <c r="K37" s="95" t="b">
        <v>0</v>
      </c>
      <c r="L37" s="87" t="b">
        <v>0</v>
      </c>
      <c r="M37" s="87" t="b">
        <v>0</v>
      </c>
      <c r="N37" s="87" t="b">
        <v>0</v>
      </c>
      <c r="O37" s="87" t="b">
        <v>0</v>
      </c>
      <c r="P37" s="87" t="b">
        <v>0</v>
      </c>
      <c r="Q37" s="87" t="b">
        <v>0</v>
      </c>
      <c r="R37" s="87" t="b">
        <v>0</v>
      </c>
      <c r="S37" s="87" t="b">
        <v>0</v>
      </c>
      <c r="T37" s="87" t="b">
        <v>0</v>
      </c>
      <c r="U37" s="87" t="b">
        <v>0</v>
      </c>
      <c r="V37" s="87" t="b">
        <v>0</v>
      </c>
      <c r="W37" s="87" t="b">
        <v>0</v>
      </c>
      <c r="X37" s="87" t="b">
        <v>0</v>
      </c>
      <c r="Y37" s="87" t="b">
        <v>0</v>
      </c>
      <c r="Z37" s="87" t="b">
        <v>0</v>
      </c>
      <c r="AA37" s="87" t="b">
        <v>0</v>
      </c>
      <c r="AB37" s="87" t="b">
        <v>0</v>
      </c>
      <c r="AC37" s="87" t="b">
        <v>0</v>
      </c>
      <c r="AD37" s="87" t="b">
        <v>0</v>
      </c>
      <c r="AE37" s="87" t="b">
        <v>0</v>
      </c>
      <c r="AF37" s="87" t="b">
        <v>0</v>
      </c>
      <c r="AG37" s="87" t="b">
        <v>0</v>
      </c>
      <c r="AH37" s="87" t="b">
        <v>0</v>
      </c>
      <c r="AI37" s="87" t="b">
        <v>0</v>
      </c>
      <c r="AJ37" s="87" t="b">
        <v>0</v>
      </c>
      <c r="AK37" s="87" t="b">
        <v>0</v>
      </c>
      <c r="AL37" s="4" cm="1">
        <f t="array" ref="AL37">SUMPRODUCT(
--(G37:AK37=FALSE),
--(ISNA(MATCH(G$5:AK$5,'holiday list'!A:A,0)))
)</f>
        <v>26</v>
      </c>
      <c r="AM37" s="4">
        <f t="shared" si="1"/>
        <v>0</v>
      </c>
      <c r="AN37" s="89">
        <f t="shared" si="2"/>
        <v>0</v>
      </c>
    </row>
    <row r="38" spans="1:40" x14ac:dyDescent="0.35">
      <c r="A38" s="5">
        <v>33</v>
      </c>
      <c r="B38" s="18" t="s">
        <v>79</v>
      </c>
      <c r="C38" s="17" t="s">
        <v>80</v>
      </c>
      <c r="D38" s="97" t="s">
        <v>42</v>
      </c>
      <c r="E38" s="98" t="s">
        <v>45</v>
      </c>
      <c r="F38" s="99" t="s">
        <v>48</v>
      </c>
      <c r="G38" s="87" t="b">
        <v>0</v>
      </c>
      <c r="H38" s="87" t="b">
        <v>0</v>
      </c>
      <c r="I38" s="87" t="b">
        <v>0</v>
      </c>
      <c r="J38" s="95" t="b">
        <v>0</v>
      </c>
      <c r="K38" s="95" t="b">
        <v>0</v>
      </c>
      <c r="L38" s="87" t="b">
        <v>0</v>
      </c>
      <c r="M38" s="87" t="b">
        <v>0</v>
      </c>
      <c r="N38" s="87" t="b">
        <v>0</v>
      </c>
      <c r="O38" s="87" t="b">
        <v>0</v>
      </c>
      <c r="P38" s="87" t="b">
        <v>0</v>
      </c>
      <c r="Q38" s="87" t="b">
        <v>0</v>
      </c>
      <c r="R38" s="87" t="b">
        <v>0</v>
      </c>
      <c r="S38" s="87" t="b">
        <v>0</v>
      </c>
      <c r="T38" s="87" t="b">
        <v>0</v>
      </c>
      <c r="U38" s="87" t="b">
        <v>0</v>
      </c>
      <c r="V38" s="87" t="b">
        <v>0</v>
      </c>
      <c r="W38" s="87" t="b">
        <v>0</v>
      </c>
      <c r="X38" s="87" t="b">
        <v>0</v>
      </c>
      <c r="Y38" s="87" t="b">
        <v>0</v>
      </c>
      <c r="Z38" s="87" t="b">
        <v>0</v>
      </c>
      <c r="AA38" s="87" t="b">
        <v>0</v>
      </c>
      <c r="AB38" s="87" t="b">
        <v>0</v>
      </c>
      <c r="AC38" s="87" t="b">
        <v>0</v>
      </c>
      <c r="AD38" s="87" t="b">
        <v>0</v>
      </c>
      <c r="AE38" s="87" t="b">
        <v>0</v>
      </c>
      <c r="AF38" s="87" t="b">
        <v>0</v>
      </c>
      <c r="AG38" s="87" t="b">
        <v>0</v>
      </c>
      <c r="AH38" s="87" t="b">
        <v>0</v>
      </c>
      <c r="AI38" s="87" t="b">
        <v>0</v>
      </c>
      <c r="AJ38" s="87" t="b">
        <v>0</v>
      </c>
      <c r="AK38" s="87" t="b">
        <v>0</v>
      </c>
      <c r="AL38" s="4" cm="1">
        <f t="array" ref="AL38">SUMPRODUCT(
--(G38:AK38=FALSE),
--(ISNA(MATCH(G$5:AK$5,'holiday list'!A:A,0)))
)</f>
        <v>26</v>
      </c>
      <c r="AM38" s="4">
        <f t="shared" si="1"/>
        <v>0</v>
      </c>
      <c r="AN38" s="89">
        <f t="shared" si="2"/>
        <v>0</v>
      </c>
    </row>
    <row r="39" spans="1:40" x14ac:dyDescent="0.35">
      <c r="A39" s="5">
        <v>34</v>
      </c>
      <c r="B39" s="17" t="s">
        <v>81</v>
      </c>
      <c r="C39" s="17" t="s">
        <v>80</v>
      </c>
      <c r="D39" s="97" t="s">
        <v>53</v>
      </c>
      <c r="E39" s="98" t="s">
        <v>45</v>
      </c>
      <c r="F39" s="99" t="s">
        <v>48</v>
      </c>
      <c r="G39" s="87" t="b">
        <v>0</v>
      </c>
      <c r="H39" s="87" t="b">
        <v>0</v>
      </c>
      <c r="I39" s="87" t="b">
        <v>0</v>
      </c>
      <c r="J39" s="94" t="b">
        <v>0</v>
      </c>
      <c r="K39" s="96" t="b">
        <v>0</v>
      </c>
      <c r="L39" s="87" t="b">
        <v>0</v>
      </c>
      <c r="M39" s="87" t="b">
        <v>0</v>
      </c>
      <c r="N39" s="87" t="b">
        <v>0</v>
      </c>
      <c r="O39" s="87" t="b">
        <v>0</v>
      </c>
      <c r="P39" s="87" t="b">
        <v>0</v>
      </c>
      <c r="Q39" s="87" t="b">
        <v>0</v>
      </c>
      <c r="R39" s="87" t="b">
        <v>0</v>
      </c>
      <c r="S39" s="87" t="b">
        <v>0</v>
      </c>
      <c r="T39" s="87" t="b">
        <v>0</v>
      </c>
      <c r="U39" s="87" t="b">
        <v>0</v>
      </c>
      <c r="V39" s="87" t="b">
        <v>0</v>
      </c>
      <c r="W39" s="87" t="b">
        <v>0</v>
      </c>
      <c r="X39" s="87" t="b">
        <v>0</v>
      </c>
      <c r="Y39" s="87" t="b">
        <v>0</v>
      </c>
      <c r="Z39" s="87" t="b">
        <v>0</v>
      </c>
      <c r="AA39" s="87" t="b">
        <v>0</v>
      </c>
      <c r="AB39" s="87" t="b">
        <v>0</v>
      </c>
      <c r="AC39" s="87" t="b">
        <v>0</v>
      </c>
      <c r="AD39" s="87" t="b">
        <v>0</v>
      </c>
      <c r="AE39" s="87" t="b">
        <v>0</v>
      </c>
      <c r="AF39" s="87" t="b">
        <v>0</v>
      </c>
      <c r="AG39" s="87" t="b">
        <v>0</v>
      </c>
      <c r="AH39" s="87" t="b">
        <v>0</v>
      </c>
      <c r="AI39" s="87" t="b">
        <v>0</v>
      </c>
      <c r="AJ39" s="87" t="b">
        <v>0</v>
      </c>
      <c r="AK39" s="87" t="b">
        <v>0</v>
      </c>
      <c r="AL39" s="4" cm="1">
        <f t="array" ref="AL39">SUMPRODUCT(
--(G39:AK39=FALSE),
--(ISNA(MATCH(G$5:AK$5,'holiday list'!A:A,0)))
)</f>
        <v>26</v>
      </c>
      <c r="AM39" s="4">
        <f t="shared" ref="AM39:AM69" si="3">COUNTIF(G39:AK39,TRUE)</f>
        <v>0</v>
      </c>
      <c r="AN39" s="89">
        <f t="shared" si="2"/>
        <v>0</v>
      </c>
    </row>
    <row r="40" spans="1:40" x14ac:dyDescent="0.35">
      <c r="A40" s="5">
        <v>35</v>
      </c>
      <c r="B40" s="17" t="s">
        <v>12</v>
      </c>
      <c r="C40" s="17" t="s">
        <v>82</v>
      </c>
      <c r="D40" s="97" t="s">
        <v>42</v>
      </c>
      <c r="E40" s="98" t="s">
        <v>45</v>
      </c>
      <c r="F40" s="99" t="s">
        <v>48</v>
      </c>
      <c r="G40" s="87" t="b">
        <v>0</v>
      </c>
      <c r="H40" s="87" t="b">
        <v>0</v>
      </c>
      <c r="I40" s="87" t="b">
        <v>0</v>
      </c>
      <c r="J40" s="94" t="b">
        <v>0</v>
      </c>
      <c r="K40" s="95" t="b">
        <v>0</v>
      </c>
      <c r="L40" s="87" t="b">
        <v>0</v>
      </c>
      <c r="M40" s="87" t="b">
        <v>0</v>
      </c>
      <c r="N40" s="87" t="b">
        <v>0</v>
      </c>
      <c r="O40" s="87" t="b">
        <v>0</v>
      </c>
      <c r="P40" s="87" t="b">
        <v>0</v>
      </c>
      <c r="Q40" s="87" t="b">
        <v>0</v>
      </c>
      <c r="R40" s="87" t="b">
        <v>0</v>
      </c>
      <c r="S40" s="87" t="b">
        <v>0</v>
      </c>
      <c r="T40" s="87" t="b">
        <v>0</v>
      </c>
      <c r="U40" s="87" t="b">
        <v>0</v>
      </c>
      <c r="V40" s="87" t="b">
        <v>0</v>
      </c>
      <c r="W40" s="87" t="b">
        <v>0</v>
      </c>
      <c r="X40" s="87" t="b">
        <v>0</v>
      </c>
      <c r="Y40" s="87" t="b">
        <v>0</v>
      </c>
      <c r="Z40" s="87" t="b">
        <v>0</v>
      </c>
      <c r="AA40" s="87" t="b">
        <v>0</v>
      </c>
      <c r="AB40" s="87" t="b">
        <v>0</v>
      </c>
      <c r="AC40" s="87" t="b">
        <v>0</v>
      </c>
      <c r="AD40" s="87" t="b">
        <v>0</v>
      </c>
      <c r="AE40" s="87" t="b">
        <v>0</v>
      </c>
      <c r="AF40" s="87" t="b">
        <v>0</v>
      </c>
      <c r="AG40" s="87" t="b">
        <v>0</v>
      </c>
      <c r="AH40" s="87" t="b">
        <v>0</v>
      </c>
      <c r="AI40" s="87" t="b">
        <v>0</v>
      </c>
      <c r="AJ40" s="87" t="b">
        <v>0</v>
      </c>
      <c r="AK40" s="87" t="b">
        <v>0</v>
      </c>
      <c r="AL40" s="4" cm="1">
        <f t="array" ref="AL40">SUMPRODUCT(
--(G40:AK40=FALSE),
--(ISNA(MATCH(G$5:AK$5,'holiday list'!A:A,0)))
)</f>
        <v>26</v>
      </c>
      <c r="AM40" s="4">
        <f t="shared" si="3"/>
        <v>0</v>
      </c>
      <c r="AN40" s="89">
        <f t="shared" si="2"/>
        <v>0</v>
      </c>
    </row>
    <row r="41" spans="1:40" x14ac:dyDescent="0.35">
      <c r="A41" s="5">
        <v>36</v>
      </c>
      <c r="B41" s="17" t="s">
        <v>13</v>
      </c>
      <c r="C41" s="17" t="s">
        <v>82</v>
      </c>
      <c r="D41" s="97" t="s">
        <v>53</v>
      </c>
      <c r="E41" s="98" t="s">
        <v>45</v>
      </c>
      <c r="F41" s="99" t="s">
        <v>48</v>
      </c>
      <c r="G41" s="87" t="b">
        <v>0</v>
      </c>
      <c r="H41" s="87" t="b">
        <v>0</v>
      </c>
      <c r="I41" s="87" t="b">
        <v>0</v>
      </c>
      <c r="J41" s="95" t="b">
        <v>0</v>
      </c>
      <c r="K41" s="95" t="b">
        <v>0</v>
      </c>
      <c r="L41" s="87" t="b">
        <v>0</v>
      </c>
      <c r="M41" s="87" t="b">
        <v>0</v>
      </c>
      <c r="N41" s="87" t="b">
        <v>0</v>
      </c>
      <c r="O41" s="87" t="b">
        <v>0</v>
      </c>
      <c r="P41" s="87" t="b">
        <v>0</v>
      </c>
      <c r="Q41" s="87" t="b">
        <v>0</v>
      </c>
      <c r="R41" s="87" t="b">
        <v>0</v>
      </c>
      <c r="S41" s="87" t="b">
        <v>0</v>
      </c>
      <c r="T41" s="87" t="b">
        <v>0</v>
      </c>
      <c r="U41" s="87" t="b">
        <v>0</v>
      </c>
      <c r="V41" s="87" t="b">
        <v>0</v>
      </c>
      <c r="W41" s="87" t="b">
        <v>0</v>
      </c>
      <c r="X41" s="87" t="b">
        <v>0</v>
      </c>
      <c r="Y41" s="87" t="b">
        <v>0</v>
      </c>
      <c r="Z41" s="87" t="b">
        <v>0</v>
      </c>
      <c r="AA41" s="87" t="b">
        <v>0</v>
      </c>
      <c r="AB41" s="87" t="b">
        <v>0</v>
      </c>
      <c r="AC41" s="87" t="b">
        <v>0</v>
      </c>
      <c r="AD41" s="87" t="b">
        <v>0</v>
      </c>
      <c r="AE41" s="87" t="b">
        <v>0</v>
      </c>
      <c r="AF41" s="87" t="b">
        <v>0</v>
      </c>
      <c r="AG41" s="87" t="b">
        <v>0</v>
      </c>
      <c r="AH41" s="87" t="b">
        <v>0</v>
      </c>
      <c r="AI41" s="87" t="b">
        <v>0</v>
      </c>
      <c r="AJ41" s="87" t="b">
        <v>0</v>
      </c>
      <c r="AK41" s="87" t="b">
        <v>0</v>
      </c>
      <c r="AL41" s="4" cm="1">
        <f t="array" ref="AL41">SUMPRODUCT(
--(G41:AK41=FALSE),
--(ISNA(MATCH(G$5:AK$5,'holiday list'!A:A,0)))
)</f>
        <v>26</v>
      </c>
      <c r="AM41" s="4">
        <f t="shared" si="3"/>
        <v>0</v>
      </c>
      <c r="AN41" s="89">
        <f t="shared" si="2"/>
        <v>0</v>
      </c>
    </row>
    <row r="42" spans="1:40" x14ac:dyDescent="0.35">
      <c r="A42" s="5">
        <v>37</v>
      </c>
      <c r="B42" s="17" t="s">
        <v>84</v>
      </c>
      <c r="C42" s="17" t="s">
        <v>82</v>
      </c>
      <c r="D42" s="97" t="s">
        <v>53</v>
      </c>
      <c r="E42" s="98" t="s">
        <v>45</v>
      </c>
      <c r="F42" s="99" t="s">
        <v>48</v>
      </c>
      <c r="G42" s="87" t="b">
        <v>0</v>
      </c>
      <c r="H42" s="87" t="b">
        <v>0</v>
      </c>
      <c r="I42" s="87" t="b">
        <v>0</v>
      </c>
      <c r="J42" s="87" t="b">
        <v>0</v>
      </c>
      <c r="K42" s="87" t="b">
        <v>0</v>
      </c>
      <c r="L42" s="87" t="b">
        <v>0</v>
      </c>
      <c r="M42" s="87" t="b">
        <v>0</v>
      </c>
      <c r="N42" s="87" t="b">
        <v>0</v>
      </c>
      <c r="O42" s="87" t="b">
        <v>0</v>
      </c>
      <c r="P42" s="87" t="b">
        <v>0</v>
      </c>
      <c r="Q42" s="87" t="b">
        <v>0</v>
      </c>
      <c r="R42" s="87" t="b">
        <v>0</v>
      </c>
      <c r="S42" s="87" t="b">
        <v>0</v>
      </c>
      <c r="T42" s="87" t="b">
        <v>0</v>
      </c>
      <c r="U42" s="87" t="b">
        <v>0</v>
      </c>
      <c r="V42" s="87" t="b">
        <v>0</v>
      </c>
      <c r="W42" s="87" t="b">
        <v>0</v>
      </c>
      <c r="X42" s="87" t="b">
        <v>0</v>
      </c>
      <c r="Y42" s="87" t="b">
        <v>0</v>
      </c>
      <c r="Z42" s="87" t="b">
        <v>0</v>
      </c>
      <c r="AA42" s="87" t="b">
        <v>0</v>
      </c>
      <c r="AB42" s="87" t="b">
        <v>0</v>
      </c>
      <c r="AC42" s="87" t="b">
        <v>0</v>
      </c>
      <c r="AD42" s="87" t="b">
        <v>0</v>
      </c>
      <c r="AE42" s="87" t="b">
        <v>0</v>
      </c>
      <c r="AF42" s="87" t="b">
        <v>0</v>
      </c>
      <c r="AG42" s="87" t="b">
        <v>0</v>
      </c>
      <c r="AH42" s="87" t="b">
        <v>0</v>
      </c>
      <c r="AI42" s="87" t="b">
        <v>0</v>
      </c>
      <c r="AJ42" s="87" t="b">
        <v>0</v>
      </c>
      <c r="AK42" s="87" t="b">
        <v>0</v>
      </c>
      <c r="AL42" s="4" cm="1">
        <f t="array" ref="AL42">SUMPRODUCT(
--(G42:AK42=FALSE),
--(ISNA(MATCH(G$5:AK$5,'holiday list'!A:A,0)))
)</f>
        <v>26</v>
      </c>
      <c r="AM42" s="4">
        <f t="shared" si="3"/>
        <v>0</v>
      </c>
      <c r="AN42" s="89">
        <f t="shared" si="2"/>
        <v>0</v>
      </c>
    </row>
    <row r="43" spans="1:40" x14ac:dyDescent="0.35">
      <c r="A43" s="5">
        <v>38</v>
      </c>
      <c r="B43" s="17" t="s">
        <v>177</v>
      </c>
      <c r="C43" s="103" t="s">
        <v>2</v>
      </c>
      <c r="D43" s="34" t="s">
        <v>53</v>
      </c>
      <c r="E43" s="98" t="s">
        <v>45</v>
      </c>
      <c r="F43" s="99" t="s">
        <v>48</v>
      </c>
      <c r="G43" s="87" t="b">
        <v>0</v>
      </c>
      <c r="H43" s="87" t="b">
        <v>0</v>
      </c>
      <c r="I43" s="87" t="b">
        <v>0</v>
      </c>
      <c r="J43" s="87" t="b">
        <v>0</v>
      </c>
      <c r="K43" s="87" t="b">
        <v>0</v>
      </c>
      <c r="L43" s="87" t="b">
        <v>0</v>
      </c>
      <c r="M43" s="87" t="b">
        <v>0</v>
      </c>
      <c r="N43" s="87" t="b">
        <v>0</v>
      </c>
      <c r="O43" s="87" t="b">
        <v>0</v>
      </c>
      <c r="P43" s="87" t="b">
        <v>0</v>
      </c>
      <c r="Q43" s="87" t="b">
        <v>0</v>
      </c>
      <c r="R43" s="87" t="b">
        <v>0</v>
      </c>
      <c r="S43" s="87" t="b">
        <v>0</v>
      </c>
      <c r="T43" s="87" t="b">
        <v>0</v>
      </c>
      <c r="U43" s="87" t="b">
        <v>0</v>
      </c>
      <c r="V43" s="87" t="b">
        <v>0</v>
      </c>
      <c r="W43" s="87" t="b">
        <v>0</v>
      </c>
      <c r="X43" s="87" t="b">
        <v>0</v>
      </c>
      <c r="Y43" s="87" t="b">
        <v>0</v>
      </c>
      <c r="Z43" s="87" t="b">
        <v>0</v>
      </c>
      <c r="AA43" s="87" t="b">
        <v>0</v>
      </c>
      <c r="AB43" s="87" t="b">
        <v>0</v>
      </c>
      <c r="AC43" s="87" t="b">
        <v>0</v>
      </c>
      <c r="AD43" s="87" t="b">
        <v>0</v>
      </c>
      <c r="AE43" s="87" t="b">
        <v>0</v>
      </c>
      <c r="AF43" s="87" t="b">
        <v>0</v>
      </c>
      <c r="AG43" s="87" t="b">
        <v>0</v>
      </c>
      <c r="AH43" s="87" t="b">
        <v>0</v>
      </c>
      <c r="AI43" s="87" t="b">
        <v>0</v>
      </c>
      <c r="AJ43" s="87" t="b">
        <v>0</v>
      </c>
      <c r="AK43" s="87" t="b">
        <v>0</v>
      </c>
      <c r="AL43" s="4" cm="1">
        <f t="array" ref="AL43">SUMPRODUCT(
--(G43:AK43=FALSE),
--(ISNA(MATCH(G$5:AK$5,'holiday list'!A:A,0)))
)</f>
        <v>26</v>
      </c>
      <c r="AM43" s="4">
        <f t="shared" si="3"/>
        <v>0</v>
      </c>
      <c r="AN43" s="89">
        <f t="shared" si="2"/>
        <v>0</v>
      </c>
    </row>
    <row r="44" spans="1:40" x14ac:dyDescent="0.35">
      <c r="A44" s="5">
        <v>39</v>
      </c>
      <c r="B44" s="18" t="s">
        <v>10</v>
      </c>
      <c r="C44" s="31" t="s">
        <v>2</v>
      </c>
      <c r="D44" s="34" t="s">
        <v>53</v>
      </c>
      <c r="E44" s="98" t="s">
        <v>45</v>
      </c>
      <c r="F44" s="99" t="s">
        <v>48</v>
      </c>
      <c r="G44" s="87" t="b">
        <v>0</v>
      </c>
      <c r="H44" s="87" t="b">
        <v>0</v>
      </c>
      <c r="I44" s="87" t="b">
        <v>0</v>
      </c>
      <c r="J44" s="87" t="b">
        <v>0</v>
      </c>
      <c r="K44" s="87" t="b">
        <v>0</v>
      </c>
      <c r="L44" s="87" t="b">
        <v>0</v>
      </c>
      <c r="M44" s="87" t="b">
        <v>0</v>
      </c>
      <c r="N44" s="87" t="b">
        <v>0</v>
      </c>
      <c r="O44" s="87" t="b">
        <v>0</v>
      </c>
      <c r="P44" s="87" t="b">
        <v>0</v>
      </c>
      <c r="Q44" s="87" t="b">
        <v>0</v>
      </c>
      <c r="R44" s="87" t="b">
        <v>0</v>
      </c>
      <c r="S44" s="87" t="b">
        <v>0</v>
      </c>
      <c r="T44" s="87" t="b">
        <v>0</v>
      </c>
      <c r="U44" s="87" t="b">
        <v>0</v>
      </c>
      <c r="V44" s="87" t="b">
        <v>0</v>
      </c>
      <c r="W44" s="87" t="b">
        <v>0</v>
      </c>
      <c r="X44" s="87" t="b">
        <v>0</v>
      </c>
      <c r="Y44" s="87" t="b">
        <v>0</v>
      </c>
      <c r="Z44" s="87" t="b">
        <v>0</v>
      </c>
      <c r="AA44" s="87" t="b">
        <v>0</v>
      </c>
      <c r="AB44" s="87" t="b">
        <v>0</v>
      </c>
      <c r="AC44" s="87" t="b">
        <v>0</v>
      </c>
      <c r="AD44" s="87" t="b">
        <v>0</v>
      </c>
      <c r="AE44" s="87" t="b">
        <v>0</v>
      </c>
      <c r="AF44" s="87" t="b">
        <v>0</v>
      </c>
      <c r="AG44" s="87" t="b">
        <v>0</v>
      </c>
      <c r="AH44" s="87" t="b">
        <v>0</v>
      </c>
      <c r="AI44" s="87" t="b">
        <v>0</v>
      </c>
      <c r="AJ44" s="87" t="b">
        <v>0</v>
      </c>
      <c r="AK44" s="87" t="b">
        <v>0</v>
      </c>
      <c r="AL44" s="4" cm="1">
        <f t="array" ref="AL44">SUMPRODUCT(
--(G44:AK44=FALSE),
--(ISNA(MATCH(G$5:AK$5,'holiday list'!A:A,0)))
)</f>
        <v>26</v>
      </c>
      <c r="AM44" s="4">
        <f t="shared" si="3"/>
        <v>0</v>
      </c>
      <c r="AN44" s="89">
        <f t="shared" si="2"/>
        <v>0</v>
      </c>
    </row>
    <row r="45" spans="1:40" x14ac:dyDescent="0.35">
      <c r="A45" s="5">
        <v>40</v>
      </c>
      <c r="B45" s="17" t="s">
        <v>178</v>
      </c>
      <c r="C45" s="17" t="s">
        <v>179</v>
      </c>
      <c r="D45" s="97" t="s">
        <v>42</v>
      </c>
      <c r="E45" s="98" t="s">
        <v>45</v>
      </c>
      <c r="F45" s="99" t="s">
        <v>169</v>
      </c>
      <c r="G45" s="87" t="b">
        <v>0</v>
      </c>
      <c r="H45" s="87" t="b">
        <v>0</v>
      </c>
      <c r="I45" s="87" t="b">
        <v>0</v>
      </c>
      <c r="J45" s="87" t="b">
        <v>0</v>
      </c>
      <c r="K45" s="87" t="b">
        <v>0</v>
      </c>
      <c r="L45" s="87" t="b">
        <v>0</v>
      </c>
      <c r="M45" s="87" t="b">
        <v>0</v>
      </c>
      <c r="N45" s="87" t="b">
        <v>0</v>
      </c>
      <c r="O45" s="87" t="b">
        <v>0</v>
      </c>
      <c r="P45" s="87" t="b">
        <v>0</v>
      </c>
      <c r="Q45" s="87" t="b">
        <v>0</v>
      </c>
      <c r="R45" s="87" t="b">
        <v>0</v>
      </c>
      <c r="S45" s="87" t="b">
        <v>0</v>
      </c>
      <c r="T45" s="87" t="b">
        <v>0</v>
      </c>
      <c r="U45" s="87" t="b">
        <v>0</v>
      </c>
      <c r="V45" s="87" t="b">
        <v>0</v>
      </c>
      <c r="W45" s="87" t="b">
        <v>0</v>
      </c>
      <c r="X45" s="87" t="b">
        <v>0</v>
      </c>
      <c r="Y45" s="87" t="b">
        <v>0</v>
      </c>
      <c r="Z45" s="87" t="b">
        <v>0</v>
      </c>
      <c r="AA45" s="87" t="b">
        <v>0</v>
      </c>
      <c r="AB45" s="87" t="b">
        <v>0</v>
      </c>
      <c r="AC45" s="87" t="b">
        <v>0</v>
      </c>
      <c r="AD45" s="87" t="b">
        <v>0</v>
      </c>
      <c r="AE45" s="87" t="b">
        <v>0</v>
      </c>
      <c r="AF45" s="87" t="b">
        <v>0</v>
      </c>
      <c r="AG45" s="87" t="b">
        <v>0</v>
      </c>
      <c r="AH45" s="87" t="b">
        <v>0</v>
      </c>
      <c r="AI45" s="87" t="b">
        <v>0</v>
      </c>
      <c r="AJ45" s="87" t="b">
        <v>0</v>
      </c>
      <c r="AK45" s="87" t="b">
        <v>0</v>
      </c>
      <c r="AL45" s="4" cm="1">
        <f t="array" ref="AL45">SUMPRODUCT(
--(G45:AK45=FALSE),
--(ISNA(MATCH(G$5:AK$5,'holiday list'!A:A,0)))
)</f>
        <v>26</v>
      </c>
      <c r="AM45" s="4">
        <f t="shared" si="3"/>
        <v>0</v>
      </c>
      <c r="AN45" s="89">
        <f t="shared" si="2"/>
        <v>0</v>
      </c>
    </row>
    <row r="46" spans="1:40" x14ac:dyDescent="0.35">
      <c r="A46" s="5">
        <v>41</v>
      </c>
      <c r="B46" s="18" t="s">
        <v>87</v>
      </c>
      <c r="C46" s="18" t="s">
        <v>86</v>
      </c>
      <c r="D46" s="97" t="s">
        <v>70</v>
      </c>
      <c r="E46" s="98" t="s">
        <v>45</v>
      </c>
      <c r="F46" s="104" t="s">
        <v>48</v>
      </c>
      <c r="G46" s="87" t="b">
        <v>0</v>
      </c>
      <c r="H46" s="87" t="b">
        <v>0</v>
      </c>
      <c r="I46" s="87" t="b">
        <v>0</v>
      </c>
      <c r="J46" s="87" t="b">
        <v>0</v>
      </c>
      <c r="K46" s="87" t="b">
        <v>0</v>
      </c>
      <c r="L46" s="87" t="b">
        <v>0</v>
      </c>
      <c r="M46" s="87" t="b">
        <v>0</v>
      </c>
      <c r="N46" s="87" t="b">
        <v>0</v>
      </c>
      <c r="O46" s="87" t="b">
        <v>0</v>
      </c>
      <c r="P46" s="87" t="b">
        <v>0</v>
      </c>
      <c r="Q46" s="87" t="b">
        <v>0</v>
      </c>
      <c r="R46" s="87" t="b">
        <v>0</v>
      </c>
      <c r="S46" s="87" t="b">
        <v>0</v>
      </c>
      <c r="T46" s="87" t="b">
        <v>0</v>
      </c>
      <c r="U46" s="87" t="b">
        <v>0</v>
      </c>
      <c r="V46" s="87" t="b">
        <v>0</v>
      </c>
      <c r="W46" s="87" t="b">
        <v>0</v>
      </c>
      <c r="X46" s="87" t="b">
        <v>0</v>
      </c>
      <c r="Y46" s="87" t="b">
        <v>0</v>
      </c>
      <c r="Z46" s="87" t="b">
        <v>0</v>
      </c>
      <c r="AA46" s="87" t="b">
        <v>0</v>
      </c>
      <c r="AB46" s="87" t="b">
        <v>0</v>
      </c>
      <c r="AC46" s="87" t="b">
        <v>0</v>
      </c>
      <c r="AD46" s="87" t="b">
        <v>0</v>
      </c>
      <c r="AE46" s="87" t="b">
        <v>0</v>
      </c>
      <c r="AF46" s="87" t="b">
        <v>0</v>
      </c>
      <c r="AG46" s="87" t="b">
        <v>0</v>
      </c>
      <c r="AH46" s="87" t="b">
        <v>0</v>
      </c>
      <c r="AI46" s="87" t="b">
        <v>0</v>
      </c>
      <c r="AJ46" s="87" t="b">
        <v>0</v>
      </c>
      <c r="AK46" s="87" t="b">
        <v>0</v>
      </c>
      <c r="AL46" s="4" cm="1">
        <f t="array" ref="AL46">SUMPRODUCT(
--(G46:AK46=FALSE),
--(ISNA(MATCH(G$5:AK$5,'holiday list'!A:A,0)))
)</f>
        <v>26</v>
      </c>
      <c r="AM46" s="4">
        <f t="shared" si="3"/>
        <v>0</v>
      </c>
      <c r="AN46" s="89">
        <f t="shared" si="2"/>
        <v>0</v>
      </c>
    </row>
    <row r="47" spans="1:40" ht="15" thickBot="1" x14ac:dyDescent="0.4">
      <c r="A47" s="5">
        <v>42</v>
      </c>
      <c r="B47" s="17" t="s">
        <v>88</v>
      </c>
      <c r="C47" s="21" t="s">
        <v>86</v>
      </c>
      <c r="D47" s="97" t="s">
        <v>70</v>
      </c>
      <c r="E47" s="98" t="s">
        <v>45</v>
      </c>
      <c r="F47" s="104" t="s">
        <v>48</v>
      </c>
      <c r="G47" s="87" t="b">
        <v>0</v>
      </c>
      <c r="H47" s="87" t="b">
        <v>0</v>
      </c>
      <c r="I47" s="87" t="b">
        <v>0</v>
      </c>
      <c r="J47" s="87" t="b">
        <v>0</v>
      </c>
      <c r="K47" s="87" t="b">
        <v>0</v>
      </c>
      <c r="L47" s="87" t="b">
        <v>0</v>
      </c>
      <c r="M47" s="87" t="b">
        <v>0</v>
      </c>
      <c r="N47" s="87" t="b">
        <v>0</v>
      </c>
      <c r="O47" s="87" t="b">
        <v>0</v>
      </c>
      <c r="P47" s="87" t="b">
        <v>0</v>
      </c>
      <c r="Q47" s="87" t="b">
        <v>0</v>
      </c>
      <c r="R47" s="87" t="b">
        <v>0</v>
      </c>
      <c r="S47" s="87" t="b">
        <v>0</v>
      </c>
      <c r="T47" s="87" t="b">
        <v>0</v>
      </c>
      <c r="U47" s="87" t="b">
        <v>0</v>
      </c>
      <c r="V47" s="87" t="b">
        <v>0</v>
      </c>
      <c r="W47" s="87" t="b">
        <v>0</v>
      </c>
      <c r="X47" s="87" t="b">
        <v>0</v>
      </c>
      <c r="Y47" s="87" t="b">
        <v>0</v>
      </c>
      <c r="Z47" s="87" t="b">
        <v>0</v>
      </c>
      <c r="AA47" s="87" t="b">
        <v>0</v>
      </c>
      <c r="AB47" s="87" t="b">
        <v>0</v>
      </c>
      <c r="AC47" s="87" t="b">
        <v>0</v>
      </c>
      <c r="AD47" s="87" t="b">
        <v>0</v>
      </c>
      <c r="AE47" s="87" t="b">
        <v>0</v>
      </c>
      <c r="AF47" s="87" t="b">
        <v>0</v>
      </c>
      <c r="AG47" s="87" t="b">
        <v>0</v>
      </c>
      <c r="AH47" s="87" t="b">
        <v>0</v>
      </c>
      <c r="AI47" s="87" t="b">
        <v>0</v>
      </c>
      <c r="AJ47" s="87" t="b">
        <v>0</v>
      </c>
      <c r="AK47" s="87" t="b">
        <v>0</v>
      </c>
      <c r="AL47" s="4" cm="1">
        <f t="array" ref="AL47">SUMPRODUCT(
--(G47:AK47=FALSE),
--(ISNA(MATCH(G$5:AK$5,'holiday list'!A:A,0)))
)</f>
        <v>26</v>
      </c>
      <c r="AM47" s="4">
        <f t="shared" si="3"/>
        <v>0</v>
      </c>
      <c r="AN47" s="89">
        <f t="shared" si="2"/>
        <v>0</v>
      </c>
    </row>
    <row r="48" spans="1:40" x14ac:dyDescent="0.35">
      <c r="A48" s="5">
        <v>43</v>
      </c>
      <c r="B48" s="18" t="s">
        <v>89</v>
      </c>
      <c r="C48" s="18" t="s">
        <v>86</v>
      </c>
      <c r="D48" s="97" t="s">
        <v>42</v>
      </c>
      <c r="E48" s="98" t="s">
        <v>45</v>
      </c>
      <c r="F48" s="104" t="s">
        <v>48</v>
      </c>
      <c r="G48" s="87" t="b">
        <v>0</v>
      </c>
      <c r="H48" s="87" t="b">
        <v>0</v>
      </c>
      <c r="I48" s="87" t="b">
        <v>0</v>
      </c>
      <c r="J48" s="87" t="b">
        <v>0</v>
      </c>
      <c r="K48" s="87" t="b">
        <v>0</v>
      </c>
      <c r="L48" s="87" t="b">
        <v>0</v>
      </c>
      <c r="M48" s="87" t="b">
        <v>0</v>
      </c>
      <c r="N48" s="87" t="b">
        <v>0</v>
      </c>
      <c r="O48" s="87" t="b">
        <v>0</v>
      </c>
      <c r="P48" s="87" t="b">
        <v>0</v>
      </c>
      <c r="Q48" s="87" t="b">
        <v>0</v>
      </c>
      <c r="R48" s="87" t="b">
        <v>0</v>
      </c>
      <c r="S48" s="87" t="b">
        <v>0</v>
      </c>
      <c r="T48" s="87" t="b">
        <v>0</v>
      </c>
      <c r="U48" s="87" t="b">
        <v>0</v>
      </c>
      <c r="V48" s="87" t="b">
        <v>0</v>
      </c>
      <c r="W48" s="87" t="b">
        <v>0</v>
      </c>
      <c r="X48" s="87" t="b">
        <v>0</v>
      </c>
      <c r="Y48" s="87" t="b">
        <v>0</v>
      </c>
      <c r="Z48" s="87" t="b">
        <v>0</v>
      </c>
      <c r="AA48" s="87" t="b">
        <v>0</v>
      </c>
      <c r="AB48" s="87" t="b">
        <v>0</v>
      </c>
      <c r="AC48" s="87" t="b">
        <v>0</v>
      </c>
      <c r="AD48" s="87" t="b">
        <v>0</v>
      </c>
      <c r="AE48" s="87" t="b">
        <v>0</v>
      </c>
      <c r="AF48" s="87" t="b">
        <v>0</v>
      </c>
      <c r="AG48" s="87" t="b">
        <v>0</v>
      </c>
      <c r="AH48" s="87" t="b">
        <v>0</v>
      </c>
      <c r="AI48" s="87" t="b">
        <v>0</v>
      </c>
      <c r="AJ48" s="87" t="b">
        <v>0</v>
      </c>
      <c r="AK48" s="87" t="b">
        <v>0</v>
      </c>
      <c r="AL48" s="4" cm="1">
        <f t="array" ref="AL48">SUMPRODUCT(
--(G48:AK48=FALSE),
--(ISNA(MATCH(G$5:AK$5,'holiday list'!A:A,0)))
)</f>
        <v>26</v>
      </c>
      <c r="AM48" s="4">
        <f t="shared" si="3"/>
        <v>0</v>
      </c>
      <c r="AN48" s="89">
        <f t="shared" si="2"/>
        <v>0</v>
      </c>
    </row>
    <row r="49" spans="1:40" x14ac:dyDescent="0.35">
      <c r="A49" s="5">
        <v>44</v>
      </c>
      <c r="B49" s="18" t="s">
        <v>180</v>
      </c>
      <c r="C49" s="17" t="s">
        <v>179</v>
      </c>
      <c r="D49" s="97" t="s">
        <v>42</v>
      </c>
      <c r="E49" s="98" t="s">
        <v>43</v>
      </c>
      <c r="F49" s="99" t="s">
        <v>169</v>
      </c>
      <c r="G49" s="87" t="b">
        <v>0</v>
      </c>
      <c r="H49" s="87" t="b">
        <v>0</v>
      </c>
      <c r="I49" s="87" t="b">
        <v>0</v>
      </c>
      <c r="J49" s="87" t="b">
        <v>0</v>
      </c>
      <c r="K49" s="87" t="b">
        <v>0</v>
      </c>
      <c r="L49" s="87" t="b">
        <v>0</v>
      </c>
      <c r="M49" s="87" t="b">
        <v>0</v>
      </c>
      <c r="N49" s="87" t="b">
        <v>0</v>
      </c>
      <c r="O49" s="87" t="b">
        <v>0</v>
      </c>
      <c r="P49" s="87" t="b">
        <v>0</v>
      </c>
      <c r="Q49" s="87" t="b">
        <v>0</v>
      </c>
      <c r="R49" s="87" t="b">
        <v>0</v>
      </c>
      <c r="S49" s="87" t="b">
        <v>0</v>
      </c>
      <c r="T49" s="87" t="b">
        <v>0</v>
      </c>
      <c r="U49" s="87" t="b">
        <v>0</v>
      </c>
      <c r="V49" s="87" t="b">
        <v>0</v>
      </c>
      <c r="W49" s="87" t="b">
        <v>0</v>
      </c>
      <c r="X49" s="87" t="b">
        <v>0</v>
      </c>
      <c r="Y49" s="87" t="b">
        <v>0</v>
      </c>
      <c r="Z49" s="87" t="b">
        <v>0</v>
      </c>
      <c r="AA49" s="87" t="b">
        <v>0</v>
      </c>
      <c r="AB49" s="87" t="b">
        <v>0</v>
      </c>
      <c r="AC49" s="87" t="b">
        <v>0</v>
      </c>
      <c r="AD49" s="87" t="b">
        <v>0</v>
      </c>
      <c r="AE49" s="87" t="b">
        <v>0</v>
      </c>
      <c r="AF49" s="87" t="b">
        <v>0</v>
      </c>
      <c r="AG49" s="87" t="b">
        <v>0</v>
      </c>
      <c r="AH49" s="87" t="b">
        <v>0</v>
      </c>
      <c r="AI49" s="87" t="b">
        <v>0</v>
      </c>
      <c r="AJ49" s="87" t="b">
        <v>0</v>
      </c>
      <c r="AK49" s="87" t="b">
        <v>0</v>
      </c>
      <c r="AL49" s="4" cm="1">
        <f t="array" ref="AL49">SUMPRODUCT(
--(G49:AK49=FALSE),
--(ISNA(MATCH(G$5:AK$5,'holiday list'!A:A,0)))
)</f>
        <v>26</v>
      </c>
      <c r="AM49" s="4">
        <f t="shared" si="3"/>
        <v>0</v>
      </c>
      <c r="AN49" s="89">
        <f t="shared" si="2"/>
        <v>0</v>
      </c>
    </row>
    <row r="50" spans="1:40" x14ac:dyDescent="0.35">
      <c r="A50" s="5">
        <v>45</v>
      </c>
      <c r="B50" s="18" t="s">
        <v>90</v>
      </c>
      <c r="C50" s="18" t="s">
        <v>91</v>
      </c>
      <c r="D50" s="97" t="s">
        <v>42</v>
      </c>
      <c r="E50" s="97" t="s">
        <v>45</v>
      </c>
      <c r="F50" s="104" t="s">
        <v>48</v>
      </c>
      <c r="G50" s="87" t="b">
        <v>0</v>
      </c>
      <c r="H50" s="87" t="b">
        <v>0</v>
      </c>
      <c r="I50" s="87" t="b">
        <v>0</v>
      </c>
      <c r="J50" s="87" t="b">
        <v>0</v>
      </c>
      <c r="K50" s="87" t="b">
        <v>0</v>
      </c>
      <c r="L50" s="87" t="b">
        <v>0</v>
      </c>
      <c r="M50" s="87" t="b">
        <v>0</v>
      </c>
      <c r="N50" s="87" t="b">
        <v>0</v>
      </c>
      <c r="O50" s="87" t="b">
        <v>0</v>
      </c>
      <c r="P50" s="87" t="b">
        <v>0</v>
      </c>
      <c r="Q50" s="87" t="b">
        <v>0</v>
      </c>
      <c r="R50" s="87" t="b">
        <v>0</v>
      </c>
      <c r="S50" s="87" t="b">
        <v>0</v>
      </c>
      <c r="T50" s="87" t="b">
        <v>0</v>
      </c>
      <c r="U50" s="87" t="b">
        <v>0</v>
      </c>
      <c r="V50" s="87" t="b">
        <v>0</v>
      </c>
      <c r="W50" s="87" t="b">
        <v>0</v>
      </c>
      <c r="X50" s="87" t="b">
        <v>0</v>
      </c>
      <c r="Y50" s="87" t="b">
        <v>0</v>
      </c>
      <c r="Z50" s="87" t="b">
        <v>0</v>
      </c>
      <c r="AA50" s="87" t="b">
        <v>0</v>
      </c>
      <c r="AB50" s="87" t="b">
        <v>0</v>
      </c>
      <c r="AC50" s="87" t="b">
        <v>0</v>
      </c>
      <c r="AD50" s="87" t="b">
        <v>0</v>
      </c>
      <c r="AE50" s="87" t="b">
        <v>0</v>
      </c>
      <c r="AF50" s="87" t="b">
        <v>0</v>
      </c>
      <c r="AG50" s="87" t="b">
        <v>0</v>
      </c>
      <c r="AH50" s="87" t="b">
        <v>0</v>
      </c>
      <c r="AI50" s="87" t="b">
        <v>0</v>
      </c>
      <c r="AJ50" s="87" t="b">
        <v>0</v>
      </c>
      <c r="AK50" s="87" t="b">
        <v>0</v>
      </c>
      <c r="AL50" s="4" cm="1">
        <f t="array" ref="AL50">SUMPRODUCT(
--(G50:AK50=FALSE),
--(ISNA(MATCH(G$5:AK$5,'holiday list'!A:A,0)))
)</f>
        <v>26</v>
      </c>
      <c r="AM50" s="4">
        <f t="shared" si="3"/>
        <v>0</v>
      </c>
      <c r="AN50" s="89">
        <f t="shared" si="2"/>
        <v>0</v>
      </c>
    </row>
    <row r="51" spans="1:40" x14ac:dyDescent="0.35">
      <c r="A51" s="5">
        <v>46</v>
      </c>
      <c r="B51" s="18" t="s">
        <v>34</v>
      </c>
      <c r="C51" s="18" t="s">
        <v>91</v>
      </c>
      <c r="D51" s="97" t="s">
        <v>53</v>
      </c>
      <c r="E51" s="97" t="s">
        <v>45</v>
      </c>
      <c r="F51" s="104" t="s">
        <v>48</v>
      </c>
      <c r="G51" s="87" t="b">
        <v>0</v>
      </c>
      <c r="H51" s="87" t="b">
        <v>0</v>
      </c>
      <c r="I51" s="87" t="b">
        <v>0</v>
      </c>
      <c r="J51" s="87" t="b">
        <v>0</v>
      </c>
      <c r="K51" s="87" t="b">
        <v>0</v>
      </c>
      <c r="L51" s="87" t="b">
        <v>0</v>
      </c>
      <c r="M51" s="87" t="b">
        <v>0</v>
      </c>
      <c r="N51" s="87" t="b">
        <v>0</v>
      </c>
      <c r="O51" s="87" t="b">
        <v>0</v>
      </c>
      <c r="P51" s="87" t="b">
        <v>0</v>
      </c>
      <c r="Q51" s="87" t="b">
        <v>0</v>
      </c>
      <c r="R51" s="87" t="b">
        <v>0</v>
      </c>
      <c r="S51" s="87" t="b">
        <v>0</v>
      </c>
      <c r="T51" s="87" t="b">
        <v>0</v>
      </c>
      <c r="U51" s="87" t="b">
        <v>0</v>
      </c>
      <c r="V51" s="87" t="b">
        <v>0</v>
      </c>
      <c r="W51" s="87" t="b">
        <v>0</v>
      </c>
      <c r="X51" s="87" t="b">
        <v>0</v>
      </c>
      <c r="Y51" s="87" t="b">
        <v>0</v>
      </c>
      <c r="Z51" s="87" t="b">
        <v>0</v>
      </c>
      <c r="AA51" s="87" t="b">
        <v>0</v>
      </c>
      <c r="AB51" s="87" t="b">
        <v>0</v>
      </c>
      <c r="AC51" s="87" t="b">
        <v>0</v>
      </c>
      <c r="AD51" s="87" t="b">
        <v>0</v>
      </c>
      <c r="AE51" s="87" t="b">
        <v>0</v>
      </c>
      <c r="AF51" s="87" t="b">
        <v>0</v>
      </c>
      <c r="AG51" s="87" t="b">
        <v>0</v>
      </c>
      <c r="AH51" s="87" t="b">
        <v>0</v>
      </c>
      <c r="AI51" s="87" t="b">
        <v>0</v>
      </c>
      <c r="AJ51" s="87" t="b">
        <v>0</v>
      </c>
      <c r="AK51" s="87" t="b">
        <v>0</v>
      </c>
      <c r="AL51" s="4" cm="1">
        <f t="array" ref="AL51">SUMPRODUCT(
--(G51:AK51=FALSE),
--(ISNA(MATCH(G$5:AK$5,'holiday list'!A:A,0)))
)</f>
        <v>26</v>
      </c>
      <c r="AM51" s="4">
        <f t="shared" si="3"/>
        <v>0</v>
      </c>
      <c r="AN51" s="89">
        <f t="shared" si="2"/>
        <v>0</v>
      </c>
    </row>
    <row r="52" spans="1:40" x14ac:dyDescent="0.35">
      <c r="A52" s="5">
        <v>47</v>
      </c>
      <c r="B52" s="18" t="s">
        <v>92</v>
      </c>
      <c r="C52" s="18" t="s">
        <v>91</v>
      </c>
      <c r="D52" s="97" t="s">
        <v>53</v>
      </c>
      <c r="E52" s="97" t="s">
        <v>45</v>
      </c>
      <c r="F52" s="104" t="s">
        <v>48</v>
      </c>
      <c r="G52" s="87" t="b">
        <v>0</v>
      </c>
      <c r="H52" s="87" t="b">
        <v>0</v>
      </c>
      <c r="I52" s="87" t="b">
        <v>0</v>
      </c>
      <c r="J52" s="87" t="b">
        <v>0</v>
      </c>
      <c r="K52" s="87" t="b">
        <v>0</v>
      </c>
      <c r="L52" s="87" t="b">
        <v>0</v>
      </c>
      <c r="M52" s="87" t="b">
        <v>0</v>
      </c>
      <c r="N52" s="87" t="b">
        <v>0</v>
      </c>
      <c r="O52" s="87" t="b">
        <v>0</v>
      </c>
      <c r="P52" s="87" t="b">
        <v>0</v>
      </c>
      <c r="Q52" s="87" t="b">
        <v>0</v>
      </c>
      <c r="R52" s="87" t="b">
        <v>0</v>
      </c>
      <c r="S52" s="87" t="b">
        <v>0</v>
      </c>
      <c r="T52" s="87" t="b">
        <v>0</v>
      </c>
      <c r="U52" s="87" t="b">
        <v>0</v>
      </c>
      <c r="V52" s="87" t="b">
        <v>0</v>
      </c>
      <c r="W52" s="87" t="b">
        <v>0</v>
      </c>
      <c r="X52" s="87" t="b">
        <v>0</v>
      </c>
      <c r="Y52" s="87" t="b">
        <v>0</v>
      </c>
      <c r="Z52" s="87" t="b">
        <v>0</v>
      </c>
      <c r="AA52" s="87" t="b">
        <v>0</v>
      </c>
      <c r="AB52" s="87" t="b">
        <v>0</v>
      </c>
      <c r="AC52" s="87" t="b">
        <v>0</v>
      </c>
      <c r="AD52" s="87" t="b">
        <v>0</v>
      </c>
      <c r="AE52" s="87" t="b">
        <v>0</v>
      </c>
      <c r="AF52" s="87" t="b">
        <v>0</v>
      </c>
      <c r="AG52" s="87" t="b">
        <v>0</v>
      </c>
      <c r="AH52" s="87" t="b">
        <v>0</v>
      </c>
      <c r="AI52" s="87" t="b">
        <v>0</v>
      </c>
      <c r="AJ52" s="87" t="b">
        <v>0</v>
      </c>
      <c r="AK52" s="87" t="b">
        <v>0</v>
      </c>
      <c r="AL52" s="4" cm="1">
        <f t="array" ref="AL52">SUMPRODUCT(
--(G52:AK52=FALSE),
--(ISNA(MATCH(G$5:AK$5,'holiday list'!A:A,0)))
)</f>
        <v>26</v>
      </c>
      <c r="AM52" s="4">
        <f t="shared" si="3"/>
        <v>0</v>
      </c>
      <c r="AN52" s="89">
        <f t="shared" si="2"/>
        <v>0</v>
      </c>
    </row>
    <row r="53" spans="1:40" x14ac:dyDescent="0.35">
      <c r="A53" s="5">
        <v>48</v>
      </c>
      <c r="B53" s="18" t="s">
        <v>181</v>
      </c>
      <c r="C53" s="18" t="s">
        <v>91</v>
      </c>
      <c r="D53" s="97" t="s">
        <v>53</v>
      </c>
      <c r="E53" s="97" t="s">
        <v>45</v>
      </c>
      <c r="F53" s="104" t="s">
        <v>48</v>
      </c>
      <c r="G53" s="87" t="b">
        <v>0</v>
      </c>
      <c r="H53" s="87" t="b">
        <v>0</v>
      </c>
      <c r="I53" s="87" t="b">
        <v>0</v>
      </c>
      <c r="J53" s="87" t="b">
        <v>0</v>
      </c>
      <c r="K53" s="87" t="b">
        <v>0</v>
      </c>
      <c r="L53" s="87" t="b">
        <v>0</v>
      </c>
      <c r="M53" s="87" t="b">
        <v>0</v>
      </c>
      <c r="N53" s="87" t="b">
        <v>0</v>
      </c>
      <c r="O53" s="87" t="b">
        <v>0</v>
      </c>
      <c r="P53" s="87" t="b">
        <v>0</v>
      </c>
      <c r="Q53" s="87" t="b">
        <v>0</v>
      </c>
      <c r="R53" s="87" t="b">
        <v>0</v>
      </c>
      <c r="S53" s="87" t="b">
        <v>0</v>
      </c>
      <c r="T53" s="87" t="b">
        <v>0</v>
      </c>
      <c r="U53" s="87" t="b">
        <v>0</v>
      </c>
      <c r="V53" s="87" t="b">
        <v>0</v>
      </c>
      <c r="W53" s="87" t="b">
        <v>0</v>
      </c>
      <c r="X53" s="87" t="b">
        <v>0</v>
      </c>
      <c r="Y53" s="87" t="b">
        <v>0</v>
      </c>
      <c r="Z53" s="87" t="b">
        <v>0</v>
      </c>
      <c r="AA53" s="87" t="b">
        <v>0</v>
      </c>
      <c r="AB53" s="87" t="b">
        <v>0</v>
      </c>
      <c r="AC53" s="87" t="b">
        <v>0</v>
      </c>
      <c r="AD53" s="87" t="b">
        <v>0</v>
      </c>
      <c r="AE53" s="87" t="b">
        <v>0</v>
      </c>
      <c r="AF53" s="87" t="b">
        <v>0</v>
      </c>
      <c r="AG53" s="87" t="b">
        <v>0</v>
      </c>
      <c r="AH53" s="87" t="b">
        <v>0</v>
      </c>
      <c r="AI53" s="87" t="b">
        <v>0</v>
      </c>
      <c r="AJ53" s="87" t="b">
        <v>0</v>
      </c>
      <c r="AK53" s="87" t="b">
        <v>0</v>
      </c>
      <c r="AL53" s="4" cm="1">
        <f t="array" ref="AL53">SUMPRODUCT(
--(G53:AK53=FALSE),
--(ISNA(MATCH(G$5:AK$5,'holiday list'!A:A,0)))
)</f>
        <v>26</v>
      </c>
      <c r="AM53" s="4">
        <f t="shared" si="3"/>
        <v>0</v>
      </c>
      <c r="AN53" s="89">
        <f t="shared" si="2"/>
        <v>0</v>
      </c>
    </row>
    <row r="54" spans="1:40" x14ac:dyDescent="0.35">
      <c r="A54" s="5">
        <v>49</v>
      </c>
      <c r="B54" s="18" t="s">
        <v>94</v>
      </c>
      <c r="C54" s="18" t="s">
        <v>91</v>
      </c>
      <c r="D54" s="97" t="s">
        <v>53</v>
      </c>
      <c r="E54" s="97" t="s">
        <v>45</v>
      </c>
      <c r="F54" s="104" t="s">
        <v>48</v>
      </c>
      <c r="G54" s="87" t="b">
        <v>0</v>
      </c>
      <c r="H54" s="87" t="b">
        <v>0</v>
      </c>
      <c r="I54" s="87" t="b">
        <v>0</v>
      </c>
      <c r="J54" s="87" t="b">
        <v>0</v>
      </c>
      <c r="K54" s="87" t="b">
        <v>0</v>
      </c>
      <c r="L54" s="87" t="b">
        <v>0</v>
      </c>
      <c r="M54" s="87" t="b">
        <v>0</v>
      </c>
      <c r="N54" s="87" t="b">
        <v>0</v>
      </c>
      <c r="O54" s="87" t="b">
        <v>0</v>
      </c>
      <c r="P54" s="87" t="b">
        <v>0</v>
      </c>
      <c r="Q54" s="87" t="b">
        <v>0</v>
      </c>
      <c r="R54" s="87" t="b">
        <v>0</v>
      </c>
      <c r="S54" s="87" t="b">
        <v>0</v>
      </c>
      <c r="T54" s="87" t="b">
        <v>0</v>
      </c>
      <c r="U54" s="87" t="b">
        <v>0</v>
      </c>
      <c r="V54" s="87" t="b">
        <v>0</v>
      </c>
      <c r="W54" s="87" t="b">
        <v>0</v>
      </c>
      <c r="X54" s="87" t="b">
        <v>0</v>
      </c>
      <c r="Y54" s="87" t="b">
        <v>0</v>
      </c>
      <c r="Z54" s="87" t="b">
        <v>0</v>
      </c>
      <c r="AA54" s="87" t="b">
        <v>0</v>
      </c>
      <c r="AB54" s="87" t="b">
        <v>0</v>
      </c>
      <c r="AC54" s="87" t="b">
        <v>0</v>
      </c>
      <c r="AD54" s="87" t="b">
        <v>0</v>
      </c>
      <c r="AE54" s="87" t="b">
        <v>0</v>
      </c>
      <c r="AF54" s="87" t="b">
        <v>0</v>
      </c>
      <c r="AG54" s="87" t="b">
        <v>0</v>
      </c>
      <c r="AH54" s="87" t="b">
        <v>0</v>
      </c>
      <c r="AI54" s="87" t="b">
        <v>0</v>
      </c>
      <c r="AJ54" s="87" t="b">
        <v>0</v>
      </c>
      <c r="AK54" s="87" t="b">
        <v>0</v>
      </c>
      <c r="AL54" s="4" cm="1">
        <f t="array" ref="AL54">SUMPRODUCT(
--(G54:AK54=FALSE),
--(ISNA(MATCH(G$5:AK$5,'holiday list'!A:A,0)))
)</f>
        <v>26</v>
      </c>
      <c r="AM54" s="4">
        <f t="shared" si="3"/>
        <v>0</v>
      </c>
      <c r="AN54" s="89">
        <f t="shared" si="2"/>
        <v>0</v>
      </c>
    </row>
    <row r="55" spans="1:40" x14ac:dyDescent="0.35">
      <c r="A55" s="5">
        <v>50</v>
      </c>
      <c r="B55" s="17" t="s">
        <v>182</v>
      </c>
      <c r="C55" s="17" t="s">
        <v>179</v>
      </c>
      <c r="D55" s="97" t="s">
        <v>53</v>
      </c>
      <c r="E55" s="98" t="s">
        <v>45</v>
      </c>
      <c r="F55" s="99" t="s">
        <v>169</v>
      </c>
      <c r="G55" s="87" t="b">
        <v>0</v>
      </c>
      <c r="H55" s="87" t="b">
        <v>0</v>
      </c>
      <c r="I55" s="87" t="b">
        <v>0</v>
      </c>
      <c r="J55" s="87" t="b">
        <v>0</v>
      </c>
      <c r="K55" s="87" t="b">
        <v>0</v>
      </c>
      <c r="L55" s="87" t="b">
        <v>0</v>
      </c>
      <c r="M55" s="87" t="b">
        <v>0</v>
      </c>
      <c r="N55" s="87" t="b">
        <v>0</v>
      </c>
      <c r="O55" s="87" t="b">
        <v>0</v>
      </c>
      <c r="P55" s="87" t="b">
        <v>0</v>
      </c>
      <c r="Q55" s="87" t="b">
        <v>0</v>
      </c>
      <c r="R55" s="87" t="b">
        <v>0</v>
      </c>
      <c r="S55" s="87" t="b">
        <v>0</v>
      </c>
      <c r="T55" s="87" t="b">
        <v>0</v>
      </c>
      <c r="U55" s="87" t="b">
        <v>0</v>
      </c>
      <c r="V55" s="87" t="b">
        <v>0</v>
      </c>
      <c r="W55" s="87" t="b">
        <v>0</v>
      </c>
      <c r="X55" s="87" t="b">
        <v>0</v>
      </c>
      <c r="Y55" s="87" t="b">
        <v>0</v>
      </c>
      <c r="Z55" s="87" t="b">
        <v>0</v>
      </c>
      <c r="AA55" s="87" t="b">
        <v>0</v>
      </c>
      <c r="AB55" s="87" t="b">
        <v>0</v>
      </c>
      <c r="AC55" s="87" t="b">
        <v>0</v>
      </c>
      <c r="AD55" s="87" t="b">
        <v>0</v>
      </c>
      <c r="AE55" s="87" t="b">
        <v>0</v>
      </c>
      <c r="AF55" s="87" t="b">
        <v>0</v>
      </c>
      <c r="AG55" s="87" t="b">
        <v>0</v>
      </c>
      <c r="AH55" s="87" t="b">
        <v>0</v>
      </c>
      <c r="AI55" s="87" t="b">
        <v>0</v>
      </c>
      <c r="AJ55" s="87" t="b">
        <v>0</v>
      </c>
      <c r="AK55" s="87" t="b">
        <v>0</v>
      </c>
      <c r="AL55" s="4" cm="1">
        <f t="array" ref="AL55">SUMPRODUCT(
--(G55:AK55=FALSE),
--(ISNA(MATCH(G$5:AK$5,'holiday list'!A:A,0)))
)</f>
        <v>26</v>
      </c>
      <c r="AM55" s="4">
        <f t="shared" si="3"/>
        <v>0</v>
      </c>
      <c r="AN55" s="89">
        <f t="shared" si="2"/>
        <v>0</v>
      </c>
    </row>
    <row r="56" spans="1:40" x14ac:dyDescent="0.35">
      <c r="A56" s="5">
        <v>51</v>
      </c>
      <c r="B56" s="18" t="s">
        <v>95</v>
      </c>
      <c r="C56" s="18" t="s">
        <v>96</v>
      </c>
      <c r="D56" s="97" t="s">
        <v>42</v>
      </c>
      <c r="E56" s="98" t="s">
        <v>45</v>
      </c>
      <c r="F56" s="104" t="s">
        <v>48</v>
      </c>
      <c r="G56" s="87" t="b">
        <v>0</v>
      </c>
      <c r="H56" s="87" t="b">
        <v>0</v>
      </c>
      <c r="I56" s="87" t="b">
        <v>0</v>
      </c>
      <c r="J56" s="87" t="b">
        <v>0</v>
      </c>
      <c r="K56" s="87" t="b">
        <v>0</v>
      </c>
      <c r="L56" s="87" t="b">
        <v>0</v>
      </c>
      <c r="M56" s="87" t="b">
        <v>0</v>
      </c>
      <c r="N56" s="87" t="b">
        <v>0</v>
      </c>
      <c r="O56" s="87" t="b">
        <v>0</v>
      </c>
      <c r="P56" s="87" t="b">
        <v>0</v>
      </c>
      <c r="Q56" s="87" t="b">
        <v>0</v>
      </c>
      <c r="R56" s="87" t="b">
        <v>0</v>
      </c>
      <c r="S56" s="87" t="b">
        <v>0</v>
      </c>
      <c r="T56" s="87" t="b">
        <v>0</v>
      </c>
      <c r="U56" s="87" t="b">
        <v>0</v>
      </c>
      <c r="V56" s="87" t="b">
        <v>0</v>
      </c>
      <c r="W56" s="87" t="b">
        <v>0</v>
      </c>
      <c r="X56" s="87" t="b">
        <v>0</v>
      </c>
      <c r="Y56" s="87" t="b">
        <v>0</v>
      </c>
      <c r="Z56" s="87" t="b">
        <v>0</v>
      </c>
      <c r="AA56" s="87" t="b">
        <v>0</v>
      </c>
      <c r="AB56" s="87" t="b">
        <v>0</v>
      </c>
      <c r="AC56" s="87" t="b">
        <v>0</v>
      </c>
      <c r="AD56" s="87" t="b">
        <v>0</v>
      </c>
      <c r="AE56" s="87" t="b">
        <v>0</v>
      </c>
      <c r="AF56" s="87" t="b">
        <v>0</v>
      </c>
      <c r="AG56" s="87" t="b">
        <v>0</v>
      </c>
      <c r="AH56" s="87" t="b">
        <v>0</v>
      </c>
      <c r="AI56" s="87" t="b">
        <v>0</v>
      </c>
      <c r="AJ56" s="87" t="b">
        <v>0</v>
      </c>
      <c r="AK56" s="87" t="b">
        <v>0</v>
      </c>
      <c r="AL56" s="4" cm="1">
        <f t="array" ref="AL56">SUMPRODUCT(
--(G56:AK56=FALSE),
--(ISNA(MATCH(G$5:AK$5,'holiday list'!A:A,0)))
)</f>
        <v>26</v>
      </c>
      <c r="AM56" s="4">
        <f t="shared" si="3"/>
        <v>0</v>
      </c>
      <c r="AN56" s="89">
        <f t="shared" si="2"/>
        <v>0</v>
      </c>
    </row>
    <row r="57" spans="1:40" x14ac:dyDescent="0.35">
      <c r="A57" s="5">
        <v>52</v>
      </c>
      <c r="B57" s="18" t="s">
        <v>97</v>
      </c>
      <c r="C57" s="18" t="s">
        <v>96</v>
      </c>
      <c r="D57" s="97" t="s">
        <v>53</v>
      </c>
      <c r="E57" s="98" t="s">
        <v>45</v>
      </c>
      <c r="F57" s="104" t="s">
        <v>48</v>
      </c>
      <c r="G57" s="87" t="b">
        <v>0</v>
      </c>
      <c r="H57" s="87" t="b">
        <v>0</v>
      </c>
      <c r="I57" s="87" t="b">
        <v>0</v>
      </c>
      <c r="J57" s="87" t="b">
        <v>0</v>
      </c>
      <c r="K57" s="87" t="b">
        <v>0</v>
      </c>
      <c r="L57" s="87" t="b">
        <v>0</v>
      </c>
      <c r="M57" s="87" t="b">
        <v>0</v>
      </c>
      <c r="N57" s="87" t="b">
        <v>0</v>
      </c>
      <c r="O57" s="87" t="b">
        <v>0</v>
      </c>
      <c r="P57" s="87" t="b">
        <v>0</v>
      </c>
      <c r="Q57" s="87" t="b">
        <v>0</v>
      </c>
      <c r="R57" s="87" t="b">
        <v>0</v>
      </c>
      <c r="S57" s="87" t="b">
        <v>0</v>
      </c>
      <c r="T57" s="87" t="b">
        <v>0</v>
      </c>
      <c r="U57" s="87" t="b">
        <v>0</v>
      </c>
      <c r="V57" s="87" t="b">
        <v>0</v>
      </c>
      <c r="W57" s="87" t="b">
        <v>0</v>
      </c>
      <c r="X57" s="87" t="b">
        <v>0</v>
      </c>
      <c r="Y57" s="87" t="b">
        <v>0</v>
      </c>
      <c r="Z57" s="87" t="b">
        <v>0</v>
      </c>
      <c r="AA57" s="87" t="b">
        <v>0</v>
      </c>
      <c r="AB57" s="87" t="b">
        <v>0</v>
      </c>
      <c r="AC57" s="87" t="b">
        <v>0</v>
      </c>
      <c r="AD57" s="87" t="b">
        <v>0</v>
      </c>
      <c r="AE57" s="87" t="b">
        <v>0</v>
      </c>
      <c r="AF57" s="87" t="b">
        <v>0</v>
      </c>
      <c r="AG57" s="87" t="b">
        <v>0</v>
      </c>
      <c r="AH57" s="87" t="b">
        <v>0</v>
      </c>
      <c r="AI57" s="87" t="b">
        <v>0</v>
      </c>
      <c r="AJ57" s="87" t="b">
        <v>0</v>
      </c>
      <c r="AK57" s="87" t="b">
        <v>0</v>
      </c>
      <c r="AL57" s="4" cm="1">
        <f t="array" ref="AL57">SUMPRODUCT(
--(G57:AK57=FALSE),
--(ISNA(MATCH(G$5:AK$5,'holiday list'!A:A,0)))
)</f>
        <v>26</v>
      </c>
      <c r="AM57" s="4">
        <f t="shared" si="3"/>
        <v>0</v>
      </c>
      <c r="AN57" s="89">
        <f t="shared" si="2"/>
        <v>0</v>
      </c>
    </row>
    <row r="58" spans="1:40" x14ac:dyDescent="0.35">
      <c r="A58" s="5">
        <v>53</v>
      </c>
      <c r="B58" s="18" t="s">
        <v>18</v>
      </c>
      <c r="C58" s="18" t="s">
        <v>96</v>
      </c>
      <c r="D58" s="97" t="s">
        <v>70</v>
      </c>
      <c r="E58" s="98" t="s">
        <v>45</v>
      </c>
      <c r="F58" s="104" t="s">
        <v>48</v>
      </c>
      <c r="G58" s="87" t="b">
        <v>0</v>
      </c>
      <c r="H58" s="87" t="b">
        <v>0</v>
      </c>
      <c r="I58" s="87" t="b">
        <v>0</v>
      </c>
      <c r="J58" s="87" t="b">
        <v>0</v>
      </c>
      <c r="K58" s="87" t="b">
        <v>0</v>
      </c>
      <c r="L58" s="87" t="b">
        <v>0</v>
      </c>
      <c r="M58" s="87" t="b">
        <v>0</v>
      </c>
      <c r="N58" s="87" t="b">
        <v>0</v>
      </c>
      <c r="O58" s="87" t="b">
        <v>0</v>
      </c>
      <c r="P58" s="87" t="b">
        <v>0</v>
      </c>
      <c r="Q58" s="87" t="b">
        <v>0</v>
      </c>
      <c r="R58" s="87" t="b">
        <v>0</v>
      </c>
      <c r="S58" s="87" t="b">
        <v>0</v>
      </c>
      <c r="T58" s="87" t="b">
        <v>0</v>
      </c>
      <c r="U58" s="87" t="b">
        <v>0</v>
      </c>
      <c r="V58" s="87" t="b">
        <v>0</v>
      </c>
      <c r="W58" s="87" t="b">
        <v>0</v>
      </c>
      <c r="X58" s="87" t="b">
        <v>0</v>
      </c>
      <c r="Y58" s="87" t="b">
        <v>0</v>
      </c>
      <c r="Z58" s="87" t="b">
        <v>0</v>
      </c>
      <c r="AA58" s="87" t="b">
        <v>0</v>
      </c>
      <c r="AB58" s="87" t="b">
        <v>0</v>
      </c>
      <c r="AC58" s="87" t="b">
        <v>0</v>
      </c>
      <c r="AD58" s="87" t="b">
        <v>0</v>
      </c>
      <c r="AE58" s="87" t="b">
        <v>0</v>
      </c>
      <c r="AF58" s="87" t="b">
        <v>0</v>
      </c>
      <c r="AG58" s="87" t="b">
        <v>0</v>
      </c>
      <c r="AH58" s="87" t="b">
        <v>0</v>
      </c>
      <c r="AI58" s="87" t="b">
        <v>0</v>
      </c>
      <c r="AJ58" s="87" t="b">
        <v>0</v>
      </c>
      <c r="AK58" s="87" t="b">
        <v>0</v>
      </c>
      <c r="AL58" s="4" cm="1">
        <f t="array" ref="AL58">SUMPRODUCT(
--(G58:AK58=FALSE),
--(ISNA(MATCH(G$5:AK$5,'holiday list'!A:A,0)))
)</f>
        <v>26</v>
      </c>
      <c r="AM58" s="4">
        <f t="shared" si="3"/>
        <v>0</v>
      </c>
      <c r="AN58" s="89">
        <f t="shared" si="2"/>
        <v>0</v>
      </c>
    </row>
    <row r="59" spans="1:40" x14ac:dyDescent="0.35">
      <c r="A59" s="5">
        <v>54</v>
      </c>
      <c r="B59" s="18" t="s">
        <v>98</v>
      </c>
      <c r="C59" s="18" t="s">
        <v>96</v>
      </c>
      <c r="D59" s="97" t="s">
        <v>70</v>
      </c>
      <c r="E59" s="98" t="s">
        <v>45</v>
      </c>
      <c r="F59" s="104" t="s">
        <v>48</v>
      </c>
      <c r="G59" s="87" t="b">
        <v>0</v>
      </c>
      <c r="H59" s="87" t="b">
        <v>0</v>
      </c>
      <c r="I59" s="87" t="b">
        <v>0</v>
      </c>
      <c r="J59" s="87" t="b">
        <v>0</v>
      </c>
      <c r="K59" s="87" t="b">
        <v>0</v>
      </c>
      <c r="L59" s="87" t="b">
        <v>0</v>
      </c>
      <c r="M59" s="87" t="b">
        <v>0</v>
      </c>
      <c r="N59" s="87" t="b">
        <v>0</v>
      </c>
      <c r="O59" s="87" t="b">
        <v>0</v>
      </c>
      <c r="P59" s="87" t="b">
        <v>0</v>
      </c>
      <c r="Q59" s="87" t="b">
        <v>0</v>
      </c>
      <c r="R59" s="87" t="b">
        <v>0</v>
      </c>
      <c r="S59" s="87" t="b">
        <v>0</v>
      </c>
      <c r="T59" s="87" t="b">
        <v>0</v>
      </c>
      <c r="U59" s="87" t="b">
        <v>0</v>
      </c>
      <c r="V59" s="87" t="b">
        <v>0</v>
      </c>
      <c r="W59" s="87" t="b">
        <v>0</v>
      </c>
      <c r="X59" s="87" t="b">
        <v>0</v>
      </c>
      <c r="Y59" s="87" t="b">
        <v>0</v>
      </c>
      <c r="Z59" s="87" t="b">
        <v>0</v>
      </c>
      <c r="AA59" s="87" t="b">
        <v>0</v>
      </c>
      <c r="AB59" s="87" t="b">
        <v>0</v>
      </c>
      <c r="AC59" s="87" t="b">
        <v>0</v>
      </c>
      <c r="AD59" s="87" t="b">
        <v>0</v>
      </c>
      <c r="AE59" s="87" t="b">
        <v>0</v>
      </c>
      <c r="AF59" s="87" t="b">
        <v>0</v>
      </c>
      <c r="AG59" s="87" t="b">
        <v>0</v>
      </c>
      <c r="AH59" s="87" t="b">
        <v>0</v>
      </c>
      <c r="AI59" s="87" t="b">
        <v>0</v>
      </c>
      <c r="AJ59" s="87" t="b">
        <v>0</v>
      </c>
      <c r="AK59" s="87" t="b">
        <v>0</v>
      </c>
      <c r="AL59" s="4" cm="1">
        <f t="array" ref="AL59">SUMPRODUCT(
--(G59:AK59=FALSE),
--(ISNA(MATCH(G$5:AK$5,'holiday list'!A:A,0)))
)</f>
        <v>26</v>
      </c>
      <c r="AM59" s="4">
        <f t="shared" si="3"/>
        <v>0</v>
      </c>
      <c r="AN59" s="89">
        <f t="shared" si="2"/>
        <v>0</v>
      </c>
    </row>
    <row r="60" spans="1:40" x14ac:dyDescent="0.35">
      <c r="A60" s="5">
        <v>55</v>
      </c>
      <c r="B60" s="18" t="s">
        <v>183</v>
      </c>
      <c r="C60" s="18" t="s">
        <v>96</v>
      </c>
      <c r="D60" s="97" t="s">
        <v>70</v>
      </c>
      <c r="E60" s="98" t="s">
        <v>45</v>
      </c>
      <c r="F60" s="104" t="s">
        <v>48</v>
      </c>
      <c r="G60" s="87" t="b">
        <v>0</v>
      </c>
      <c r="H60" s="87" t="b">
        <v>0</v>
      </c>
      <c r="I60" s="87" t="b">
        <v>0</v>
      </c>
      <c r="J60" s="87" t="b">
        <v>0</v>
      </c>
      <c r="K60" s="87" t="b">
        <v>0</v>
      </c>
      <c r="L60" s="87" t="b">
        <v>0</v>
      </c>
      <c r="M60" s="87" t="b">
        <v>0</v>
      </c>
      <c r="N60" s="87" t="b">
        <v>0</v>
      </c>
      <c r="O60" s="87" t="b">
        <v>0</v>
      </c>
      <c r="P60" s="87" t="b">
        <v>0</v>
      </c>
      <c r="Q60" s="87" t="b">
        <v>0</v>
      </c>
      <c r="R60" s="87" t="b">
        <v>0</v>
      </c>
      <c r="S60" s="87" t="b">
        <v>0</v>
      </c>
      <c r="T60" s="87" t="b">
        <v>0</v>
      </c>
      <c r="U60" s="87" t="b">
        <v>0</v>
      </c>
      <c r="V60" s="87" t="b">
        <v>0</v>
      </c>
      <c r="W60" s="87" t="b">
        <v>0</v>
      </c>
      <c r="X60" s="87" t="b">
        <v>0</v>
      </c>
      <c r="Y60" s="87" t="b">
        <v>0</v>
      </c>
      <c r="Z60" s="87" t="b">
        <v>0</v>
      </c>
      <c r="AA60" s="87" t="b">
        <v>0</v>
      </c>
      <c r="AB60" s="87" t="b">
        <v>0</v>
      </c>
      <c r="AC60" s="87" t="b">
        <v>0</v>
      </c>
      <c r="AD60" s="87" t="b">
        <v>0</v>
      </c>
      <c r="AE60" s="87" t="b">
        <v>0</v>
      </c>
      <c r="AF60" s="87" t="b">
        <v>0</v>
      </c>
      <c r="AG60" s="87" t="b">
        <v>0</v>
      </c>
      <c r="AH60" s="87" t="b">
        <v>0</v>
      </c>
      <c r="AI60" s="87" t="b">
        <v>0</v>
      </c>
      <c r="AJ60" s="87" t="b">
        <v>0</v>
      </c>
      <c r="AK60" s="87" t="b">
        <v>0</v>
      </c>
      <c r="AL60" s="4" cm="1">
        <f t="array" ref="AL60">SUMPRODUCT(
--(G60:AK60=FALSE),
--(ISNA(MATCH(G$5:AK$5,'holiday list'!A:A,0)))
)</f>
        <v>26</v>
      </c>
      <c r="AM60" s="4">
        <f t="shared" si="3"/>
        <v>0</v>
      </c>
      <c r="AN60" s="89">
        <f t="shared" si="2"/>
        <v>0</v>
      </c>
    </row>
    <row r="61" spans="1:40" x14ac:dyDescent="0.35">
      <c r="A61" s="5">
        <v>56</v>
      </c>
      <c r="B61" s="18" t="s">
        <v>99</v>
      </c>
      <c r="C61" s="18" t="s">
        <v>96</v>
      </c>
      <c r="D61" s="97" t="s">
        <v>70</v>
      </c>
      <c r="E61" s="98" t="s">
        <v>45</v>
      </c>
      <c r="F61" s="104" t="s">
        <v>48</v>
      </c>
      <c r="G61" s="87" t="b">
        <v>0</v>
      </c>
      <c r="H61" s="87" t="b">
        <v>0</v>
      </c>
      <c r="I61" s="87" t="b">
        <v>0</v>
      </c>
      <c r="J61" s="87" t="b">
        <v>0</v>
      </c>
      <c r="K61" s="87" t="b">
        <v>0</v>
      </c>
      <c r="L61" s="87" t="b">
        <v>0</v>
      </c>
      <c r="M61" s="87" t="b">
        <v>0</v>
      </c>
      <c r="N61" s="87" t="b">
        <v>0</v>
      </c>
      <c r="O61" s="87" t="b">
        <v>0</v>
      </c>
      <c r="P61" s="87" t="b">
        <v>0</v>
      </c>
      <c r="Q61" s="87" t="b">
        <v>0</v>
      </c>
      <c r="R61" s="87" t="b">
        <v>0</v>
      </c>
      <c r="S61" s="87" t="b">
        <v>0</v>
      </c>
      <c r="T61" s="87" t="b">
        <v>0</v>
      </c>
      <c r="U61" s="87" t="b">
        <v>0</v>
      </c>
      <c r="V61" s="87" t="b">
        <v>0</v>
      </c>
      <c r="W61" s="87" t="b">
        <v>0</v>
      </c>
      <c r="X61" s="87" t="b">
        <v>0</v>
      </c>
      <c r="Y61" s="87" t="b">
        <v>0</v>
      </c>
      <c r="Z61" s="87" t="b">
        <v>0</v>
      </c>
      <c r="AA61" s="87" t="b">
        <v>0</v>
      </c>
      <c r="AB61" s="87" t="b">
        <v>0</v>
      </c>
      <c r="AC61" s="87" t="b">
        <v>0</v>
      </c>
      <c r="AD61" s="87" t="b">
        <v>0</v>
      </c>
      <c r="AE61" s="87" t="b">
        <v>0</v>
      </c>
      <c r="AF61" s="87" t="b">
        <v>0</v>
      </c>
      <c r="AG61" s="87" t="b">
        <v>0</v>
      </c>
      <c r="AH61" s="87" t="b">
        <v>0</v>
      </c>
      <c r="AI61" s="87" t="b">
        <v>0</v>
      </c>
      <c r="AJ61" s="87" t="b">
        <v>0</v>
      </c>
      <c r="AK61" s="87" t="b">
        <v>0</v>
      </c>
      <c r="AL61" s="4" cm="1">
        <f t="array" ref="AL61">SUMPRODUCT(
--(G61:AK61=FALSE),
--(ISNA(MATCH(G$5:AK$5,'holiday list'!A:A,0)))
)</f>
        <v>26</v>
      </c>
      <c r="AM61" s="4">
        <f t="shared" si="3"/>
        <v>0</v>
      </c>
      <c r="AN61" s="89">
        <f t="shared" si="2"/>
        <v>0</v>
      </c>
    </row>
    <row r="62" spans="1:40" ht="15" thickBot="1" x14ac:dyDescent="0.4">
      <c r="A62" s="5">
        <v>57</v>
      </c>
      <c r="B62" s="18" t="s">
        <v>100</v>
      </c>
      <c r="C62" s="19" t="s">
        <v>96</v>
      </c>
      <c r="D62" s="100" t="s">
        <v>42</v>
      </c>
      <c r="E62" s="101" t="s">
        <v>43</v>
      </c>
      <c r="F62" s="104" t="s">
        <v>48</v>
      </c>
      <c r="G62" s="87" t="b">
        <v>0</v>
      </c>
      <c r="H62" s="87" t="b">
        <v>0</v>
      </c>
      <c r="I62" s="87" t="b">
        <v>0</v>
      </c>
      <c r="J62" s="87" t="b">
        <v>0</v>
      </c>
      <c r="K62" s="87" t="b">
        <v>0</v>
      </c>
      <c r="L62" s="87" t="b">
        <v>0</v>
      </c>
      <c r="M62" s="87" t="b">
        <v>0</v>
      </c>
      <c r="N62" s="87" t="b">
        <v>0</v>
      </c>
      <c r="O62" s="87" t="b">
        <v>0</v>
      </c>
      <c r="P62" s="87" t="b">
        <v>0</v>
      </c>
      <c r="Q62" s="87" t="b">
        <v>0</v>
      </c>
      <c r="R62" s="87" t="b">
        <v>0</v>
      </c>
      <c r="S62" s="87" t="b">
        <v>0</v>
      </c>
      <c r="T62" s="87" t="b">
        <v>0</v>
      </c>
      <c r="U62" s="87" t="b">
        <v>0</v>
      </c>
      <c r="V62" s="87" t="b">
        <v>0</v>
      </c>
      <c r="W62" s="87" t="b">
        <v>0</v>
      </c>
      <c r="X62" s="87" t="b">
        <v>0</v>
      </c>
      <c r="Y62" s="87" t="b">
        <v>0</v>
      </c>
      <c r="Z62" s="87" t="b">
        <v>0</v>
      </c>
      <c r="AA62" s="87" t="b">
        <v>0</v>
      </c>
      <c r="AB62" s="87" t="b">
        <v>0</v>
      </c>
      <c r="AC62" s="87" t="b">
        <v>0</v>
      </c>
      <c r="AD62" s="87" t="b">
        <v>0</v>
      </c>
      <c r="AE62" s="87" t="b">
        <v>0</v>
      </c>
      <c r="AF62" s="87" t="b">
        <v>0</v>
      </c>
      <c r="AG62" s="87" t="b">
        <v>0</v>
      </c>
      <c r="AH62" s="87" t="b">
        <v>0</v>
      </c>
      <c r="AI62" s="87" t="b">
        <v>0</v>
      </c>
      <c r="AJ62" s="87" t="b">
        <v>0</v>
      </c>
      <c r="AK62" s="87" t="b">
        <v>0</v>
      </c>
      <c r="AL62" s="4" cm="1">
        <f t="array" ref="AL62">SUMPRODUCT(
--(G62:AK62=FALSE),
--(ISNA(MATCH(G$5:AK$5,'holiday list'!A:A,0)))
)</f>
        <v>26</v>
      </c>
      <c r="AM62" s="4">
        <f t="shared" si="3"/>
        <v>0</v>
      </c>
      <c r="AN62" s="89">
        <f t="shared" si="2"/>
        <v>0</v>
      </c>
    </row>
    <row r="63" spans="1:40" x14ac:dyDescent="0.35">
      <c r="A63" s="5">
        <v>58</v>
      </c>
      <c r="B63" s="18" t="s">
        <v>30</v>
      </c>
      <c r="C63" s="19" t="s">
        <v>47</v>
      </c>
      <c r="D63" s="105" t="s">
        <v>53</v>
      </c>
      <c r="E63" s="98" t="s">
        <v>45</v>
      </c>
      <c r="F63" s="99" t="s">
        <v>48</v>
      </c>
      <c r="G63" s="87" t="b">
        <v>0</v>
      </c>
      <c r="H63" s="87" t="b">
        <v>0</v>
      </c>
      <c r="I63" s="87" t="b">
        <v>0</v>
      </c>
      <c r="J63" s="87" t="b">
        <v>0</v>
      </c>
      <c r="K63" s="87" t="b">
        <v>0</v>
      </c>
      <c r="L63" s="87" t="b">
        <v>0</v>
      </c>
      <c r="M63" s="87" t="b">
        <v>0</v>
      </c>
      <c r="N63" s="87" t="b">
        <v>0</v>
      </c>
      <c r="O63" s="87" t="b">
        <v>0</v>
      </c>
      <c r="P63" s="87" t="b">
        <v>0</v>
      </c>
      <c r="Q63" s="87" t="b">
        <v>0</v>
      </c>
      <c r="R63" s="87" t="b">
        <v>0</v>
      </c>
      <c r="S63" s="87" t="b">
        <v>0</v>
      </c>
      <c r="T63" s="87" t="b">
        <v>0</v>
      </c>
      <c r="U63" s="87" t="b">
        <v>0</v>
      </c>
      <c r="V63" s="87" t="b">
        <v>0</v>
      </c>
      <c r="W63" s="87" t="b">
        <v>0</v>
      </c>
      <c r="X63" s="87" t="b">
        <v>0</v>
      </c>
      <c r="Y63" s="87" t="b">
        <v>0</v>
      </c>
      <c r="Z63" s="87" t="b">
        <v>0</v>
      </c>
      <c r="AA63" s="87" t="b">
        <v>0</v>
      </c>
      <c r="AB63" s="87" t="b">
        <v>0</v>
      </c>
      <c r="AC63" s="87" t="b">
        <v>0</v>
      </c>
      <c r="AD63" s="87" t="b">
        <v>0</v>
      </c>
      <c r="AE63" s="87" t="b">
        <v>0</v>
      </c>
      <c r="AF63" s="87" t="b">
        <v>0</v>
      </c>
      <c r="AG63" s="87" t="b">
        <v>0</v>
      </c>
      <c r="AH63" s="87" t="b">
        <v>0</v>
      </c>
      <c r="AI63" s="87" t="b">
        <v>0</v>
      </c>
      <c r="AJ63" s="87" t="b">
        <v>0</v>
      </c>
      <c r="AK63" s="87" t="b">
        <v>0</v>
      </c>
      <c r="AL63" s="4" cm="1">
        <f t="array" ref="AL63">SUMPRODUCT(
--(G63:AK63=FALSE),
--(ISNA(MATCH(G$5:AK$5,'holiday list'!A:A,0)))
)</f>
        <v>26</v>
      </c>
      <c r="AM63" s="4">
        <f t="shared" si="3"/>
        <v>0</v>
      </c>
      <c r="AN63" s="89">
        <f t="shared" si="2"/>
        <v>0</v>
      </c>
    </row>
    <row r="64" spans="1:40" ht="15" thickBot="1" x14ac:dyDescent="0.4">
      <c r="A64" s="5">
        <v>59</v>
      </c>
      <c r="B64" s="19" t="s">
        <v>101</v>
      </c>
      <c r="C64" s="19" t="s">
        <v>96</v>
      </c>
      <c r="D64" s="100" t="s">
        <v>42</v>
      </c>
      <c r="E64" s="101" t="s">
        <v>43</v>
      </c>
      <c r="F64" s="104" t="s">
        <v>48</v>
      </c>
      <c r="G64" s="87" t="b">
        <v>0</v>
      </c>
      <c r="H64" s="87" t="b">
        <v>0</v>
      </c>
      <c r="I64" s="87" t="b">
        <v>0</v>
      </c>
      <c r="J64" s="87" t="b">
        <v>0</v>
      </c>
      <c r="K64" s="87" t="b">
        <v>0</v>
      </c>
      <c r="L64" s="87" t="b">
        <v>0</v>
      </c>
      <c r="M64" s="87" t="b">
        <v>0</v>
      </c>
      <c r="N64" s="87" t="b">
        <v>0</v>
      </c>
      <c r="O64" s="87" t="b">
        <v>0</v>
      </c>
      <c r="P64" s="87" t="b">
        <v>0</v>
      </c>
      <c r="Q64" s="87" t="b">
        <v>0</v>
      </c>
      <c r="R64" s="87" t="b">
        <v>0</v>
      </c>
      <c r="S64" s="87" t="b">
        <v>0</v>
      </c>
      <c r="T64" s="87" t="b">
        <v>0</v>
      </c>
      <c r="U64" s="87" t="b">
        <v>0</v>
      </c>
      <c r="V64" s="87" t="b">
        <v>0</v>
      </c>
      <c r="W64" s="87" t="b">
        <v>0</v>
      </c>
      <c r="X64" s="87" t="b">
        <v>0</v>
      </c>
      <c r="Y64" s="87" t="b">
        <v>0</v>
      </c>
      <c r="Z64" s="87" t="b">
        <v>0</v>
      </c>
      <c r="AA64" s="87" t="b">
        <v>0</v>
      </c>
      <c r="AB64" s="87" t="b">
        <v>0</v>
      </c>
      <c r="AC64" s="87" t="b">
        <v>0</v>
      </c>
      <c r="AD64" s="87" t="b">
        <v>0</v>
      </c>
      <c r="AE64" s="87" t="b">
        <v>0</v>
      </c>
      <c r="AF64" s="87" t="b">
        <v>0</v>
      </c>
      <c r="AG64" s="87" t="b">
        <v>0</v>
      </c>
      <c r="AH64" s="87" t="b">
        <v>0</v>
      </c>
      <c r="AI64" s="87" t="b">
        <v>0</v>
      </c>
      <c r="AJ64" s="87" t="b">
        <v>0</v>
      </c>
      <c r="AK64" s="87" t="b">
        <v>0</v>
      </c>
      <c r="AL64" s="4" cm="1">
        <f t="array" ref="AL64">SUMPRODUCT(
--(G64:AK64=FALSE),
--(ISNA(MATCH(G$5:AK$5,'holiday list'!A:A,0)))
)</f>
        <v>26</v>
      </c>
      <c r="AM64" s="4">
        <f t="shared" si="3"/>
        <v>0</v>
      </c>
      <c r="AN64" s="89">
        <f t="shared" si="2"/>
        <v>0</v>
      </c>
    </row>
    <row r="65" spans="1:40" x14ac:dyDescent="0.35">
      <c r="A65" s="5">
        <v>60</v>
      </c>
      <c r="B65" s="18" t="s">
        <v>102</v>
      </c>
      <c r="C65" s="18" t="s">
        <v>96</v>
      </c>
      <c r="D65" s="105" t="s">
        <v>42</v>
      </c>
      <c r="E65" s="98" t="s">
        <v>45</v>
      </c>
      <c r="F65" s="104" t="s">
        <v>48</v>
      </c>
      <c r="G65" s="87" t="b">
        <v>0</v>
      </c>
      <c r="H65" s="87" t="b">
        <v>0</v>
      </c>
      <c r="I65" s="87" t="b">
        <v>0</v>
      </c>
      <c r="J65" s="87" t="b">
        <v>0</v>
      </c>
      <c r="K65" s="87" t="b">
        <v>0</v>
      </c>
      <c r="L65" s="87" t="b">
        <v>0</v>
      </c>
      <c r="M65" s="87" t="b">
        <v>0</v>
      </c>
      <c r="N65" s="87" t="b">
        <v>0</v>
      </c>
      <c r="O65" s="87" t="b">
        <v>0</v>
      </c>
      <c r="P65" s="87" t="b">
        <v>0</v>
      </c>
      <c r="Q65" s="87" t="b">
        <v>0</v>
      </c>
      <c r="R65" s="87" t="b">
        <v>0</v>
      </c>
      <c r="S65" s="87" t="b">
        <v>0</v>
      </c>
      <c r="T65" s="87" t="b">
        <v>0</v>
      </c>
      <c r="U65" s="87" t="b">
        <v>0</v>
      </c>
      <c r="V65" s="87" t="b">
        <v>0</v>
      </c>
      <c r="W65" s="87" t="b">
        <v>0</v>
      </c>
      <c r="X65" s="87" t="b">
        <v>0</v>
      </c>
      <c r="Y65" s="87" t="b">
        <v>0</v>
      </c>
      <c r="Z65" s="87" t="b">
        <v>0</v>
      </c>
      <c r="AA65" s="87" t="b">
        <v>0</v>
      </c>
      <c r="AB65" s="87" t="b">
        <v>0</v>
      </c>
      <c r="AC65" s="87" t="b">
        <v>0</v>
      </c>
      <c r="AD65" s="87" t="b">
        <v>0</v>
      </c>
      <c r="AE65" s="87" t="b">
        <v>0</v>
      </c>
      <c r="AF65" s="87" t="b">
        <v>0</v>
      </c>
      <c r="AG65" s="87" t="b">
        <v>0</v>
      </c>
      <c r="AH65" s="87" t="b">
        <v>0</v>
      </c>
      <c r="AI65" s="87" t="b">
        <v>0</v>
      </c>
      <c r="AJ65" s="87" t="b">
        <v>0</v>
      </c>
      <c r="AK65" s="87" t="b">
        <v>0</v>
      </c>
      <c r="AL65" s="4" cm="1">
        <f t="array" ref="AL65">SUMPRODUCT(
--(G65:AK65=FALSE),
--(ISNA(MATCH(G$5:AK$5,'holiday list'!A:A,0)))
)</f>
        <v>26</v>
      </c>
      <c r="AM65" s="4">
        <f t="shared" si="3"/>
        <v>0</v>
      </c>
      <c r="AN65" s="89">
        <f t="shared" si="2"/>
        <v>0</v>
      </c>
    </row>
    <row r="66" spans="1:40" x14ac:dyDescent="0.35">
      <c r="A66" s="5">
        <v>61</v>
      </c>
      <c r="B66" s="18" t="s">
        <v>16</v>
      </c>
      <c r="C66" s="18" t="s">
        <v>4</v>
      </c>
      <c r="D66" s="97" t="s">
        <v>53</v>
      </c>
      <c r="E66" s="98" t="s">
        <v>45</v>
      </c>
      <c r="F66" s="104" t="s">
        <v>48</v>
      </c>
      <c r="G66" s="87" t="b">
        <v>0</v>
      </c>
      <c r="H66" s="87" t="b">
        <v>0</v>
      </c>
      <c r="I66" s="87" t="b">
        <v>0</v>
      </c>
      <c r="J66" s="87" t="b">
        <v>0</v>
      </c>
      <c r="K66" s="87" t="b">
        <v>0</v>
      </c>
      <c r="L66" s="87" t="b">
        <v>0</v>
      </c>
      <c r="M66" s="87" t="b">
        <v>0</v>
      </c>
      <c r="N66" s="87" t="b">
        <v>0</v>
      </c>
      <c r="O66" s="87" t="b">
        <v>0</v>
      </c>
      <c r="P66" s="87" t="b">
        <v>0</v>
      </c>
      <c r="Q66" s="87" t="b">
        <v>0</v>
      </c>
      <c r="R66" s="87" t="b">
        <v>0</v>
      </c>
      <c r="S66" s="87" t="b">
        <v>0</v>
      </c>
      <c r="T66" s="87" t="b">
        <v>0</v>
      </c>
      <c r="U66" s="87" t="b">
        <v>0</v>
      </c>
      <c r="V66" s="87" t="b">
        <v>0</v>
      </c>
      <c r="W66" s="87" t="b">
        <v>0</v>
      </c>
      <c r="X66" s="87" t="b">
        <v>0</v>
      </c>
      <c r="Y66" s="87" t="b">
        <v>0</v>
      </c>
      <c r="Z66" s="87" t="b">
        <v>0</v>
      </c>
      <c r="AA66" s="87" t="b">
        <v>0</v>
      </c>
      <c r="AB66" s="87" t="b">
        <v>0</v>
      </c>
      <c r="AC66" s="87" t="b">
        <v>0</v>
      </c>
      <c r="AD66" s="87" t="b">
        <v>0</v>
      </c>
      <c r="AE66" s="87" t="b">
        <v>0</v>
      </c>
      <c r="AF66" s="87" t="b">
        <v>0</v>
      </c>
      <c r="AG66" s="87" t="b">
        <v>0</v>
      </c>
      <c r="AH66" s="87" t="b">
        <v>0</v>
      </c>
      <c r="AI66" s="87" t="b">
        <v>0</v>
      </c>
      <c r="AJ66" s="87" t="b">
        <v>0</v>
      </c>
      <c r="AK66" s="87" t="b">
        <v>0</v>
      </c>
      <c r="AL66" s="4" cm="1">
        <f t="array" ref="AL66">SUMPRODUCT(
--(G66:AK66=FALSE),
--(ISNA(MATCH(G$5:AK$5,'holiday list'!A:A,0)))
)</f>
        <v>26</v>
      </c>
      <c r="AM66" s="4">
        <f t="shared" si="3"/>
        <v>0</v>
      </c>
      <c r="AN66" s="89">
        <f t="shared" si="2"/>
        <v>0</v>
      </c>
    </row>
    <row r="67" spans="1:40" x14ac:dyDescent="0.35">
      <c r="A67" s="5">
        <v>62</v>
      </c>
      <c r="B67" s="18" t="s">
        <v>103</v>
      </c>
      <c r="C67" s="18" t="s">
        <v>4</v>
      </c>
      <c r="D67" s="97" t="s">
        <v>42</v>
      </c>
      <c r="E67" s="98" t="s">
        <v>45</v>
      </c>
      <c r="F67" s="104" t="s">
        <v>48</v>
      </c>
      <c r="G67" s="87" t="b">
        <v>0</v>
      </c>
      <c r="H67" s="87" t="b">
        <v>0</v>
      </c>
      <c r="I67" s="87" t="b">
        <v>0</v>
      </c>
      <c r="J67" s="87" t="b">
        <v>0</v>
      </c>
      <c r="K67" s="87" t="b">
        <v>0</v>
      </c>
      <c r="L67" s="87" t="b">
        <v>0</v>
      </c>
      <c r="M67" s="87" t="b">
        <v>0</v>
      </c>
      <c r="N67" s="87" t="b">
        <v>0</v>
      </c>
      <c r="O67" s="87" t="b">
        <v>0</v>
      </c>
      <c r="P67" s="87" t="b">
        <v>0</v>
      </c>
      <c r="Q67" s="87" t="b">
        <v>0</v>
      </c>
      <c r="R67" s="87" t="b">
        <v>0</v>
      </c>
      <c r="S67" s="87" t="b">
        <v>0</v>
      </c>
      <c r="T67" s="87" t="b">
        <v>0</v>
      </c>
      <c r="U67" s="87" t="b">
        <v>0</v>
      </c>
      <c r="V67" s="87" t="b">
        <v>0</v>
      </c>
      <c r="W67" s="87" t="b">
        <v>0</v>
      </c>
      <c r="X67" s="87" t="b">
        <v>0</v>
      </c>
      <c r="Y67" s="87" t="b">
        <v>0</v>
      </c>
      <c r="Z67" s="87" t="b">
        <v>0</v>
      </c>
      <c r="AA67" s="87" t="b">
        <v>0</v>
      </c>
      <c r="AB67" s="87" t="b">
        <v>0</v>
      </c>
      <c r="AC67" s="87" t="b">
        <v>0</v>
      </c>
      <c r="AD67" s="87" t="b">
        <v>0</v>
      </c>
      <c r="AE67" s="87" t="b">
        <v>0</v>
      </c>
      <c r="AF67" s="87" t="b">
        <v>0</v>
      </c>
      <c r="AG67" s="87" t="b">
        <v>0</v>
      </c>
      <c r="AH67" s="87" t="b">
        <v>0</v>
      </c>
      <c r="AI67" s="87" t="b">
        <v>0</v>
      </c>
      <c r="AJ67" s="87" t="b">
        <v>0</v>
      </c>
      <c r="AK67" s="87" t="b">
        <v>0</v>
      </c>
      <c r="AL67" s="4" cm="1">
        <f t="array" ref="AL67">SUMPRODUCT(
--(G67:AK67=FALSE),
--(ISNA(MATCH(G$5:AK$5,'holiday list'!A:A,0)))
)</f>
        <v>26</v>
      </c>
      <c r="AM67" s="4">
        <f t="shared" si="3"/>
        <v>0</v>
      </c>
      <c r="AN67" s="89">
        <f t="shared" si="2"/>
        <v>0</v>
      </c>
    </row>
    <row r="68" spans="1:40" x14ac:dyDescent="0.35">
      <c r="A68" s="5">
        <v>63</v>
      </c>
      <c r="B68" s="18" t="s">
        <v>104</v>
      </c>
      <c r="C68" s="18" t="s">
        <v>4</v>
      </c>
      <c r="D68" s="97" t="s">
        <v>42</v>
      </c>
      <c r="E68" s="98" t="s">
        <v>45</v>
      </c>
      <c r="F68" s="104" t="s">
        <v>48</v>
      </c>
      <c r="G68" s="87" t="b">
        <v>0</v>
      </c>
      <c r="H68" s="87" t="b">
        <v>0</v>
      </c>
      <c r="I68" s="87" t="b">
        <v>0</v>
      </c>
      <c r="J68" s="87" t="b">
        <v>0</v>
      </c>
      <c r="K68" s="87" t="b">
        <v>0</v>
      </c>
      <c r="L68" s="87" t="b">
        <v>0</v>
      </c>
      <c r="M68" s="87" t="b">
        <v>0</v>
      </c>
      <c r="N68" s="87" t="b">
        <v>0</v>
      </c>
      <c r="O68" s="87" t="b">
        <v>0</v>
      </c>
      <c r="P68" s="87" t="b">
        <v>0</v>
      </c>
      <c r="Q68" s="87" t="b">
        <v>0</v>
      </c>
      <c r="R68" s="87" t="b">
        <v>0</v>
      </c>
      <c r="S68" s="87" t="b">
        <v>0</v>
      </c>
      <c r="T68" s="87" t="b">
        <v>0</v>
      </c>
      <c r="U68" s="87" t="b">
        <v>0</v>
      </c>
      <c r="V68" s="87" t="b">
        <v>0</v>
      </c>
      <c r="W68" s="87" t="b">
        <v>0</v>
      </c>
      <c r="X68" s="87" t="b">
        <v>0</v>
      </c>
      <c r="Y68" s="87" t="b">
        <v>0</v>
      </c>
      <c r="Z68" s="87" t="b">
        <v>0</v>
      </c>
      <c r="AA68" s="87" t="b">
        <v>0</v>
      </c>
      <c r="AB68" s="87" t="b">
        <v>0</v>
      </c>
      <c r="AC68" s="87" t="b">
        <v>0</v>
      </c>
      <c r="AD68" s="87" t="b">
        <v>0</v>
      </c>
      <c r="AE68" s="87" t="b">
        <v>0</v>
      </c>
      <c r="AF68" s="87" t="b">
        <v>0</v>
      </c>
      <c r="AG68" s="87" t="b">
        <v>0</v>
      </c>
      <c r="AH68" s="87" t="b">
        <v>0</v>
      </c>
      <c r="AI68" s="87" t="b">
        <v>0</v>
      </c>
      <c r="AJ68" s="87" t="b">
        <v>0</v>
      </c>
      <c r="AK68" s="87" t="b">
        <v>0</v>
      </c>
      <c r="AL68" s="4" cm="1">
        <f t="array" ref="AL68">SUMPRODUCT(
--(G68:AK68=FALSE),
--(ISNA(MATCH(G$5:AK$5,'holiday list'!A:A,0)))
)</f>
        <v>26</v>
      </c>
      <c r="AM68" s="4">
        <f t="shared" si="3"/>
        <v>0</v>
      </c>
      <c r="AN68" s="89">
        <f t="shared" si="2"/>
        <v>0</v>
      </c>
    </row>
    <row r="69" spans="1:40" x14ac:dyDescent="0.35">
      <c r="A69" s="5">
        <v>64</v>
      </c>
      <c r="B69" s="18" t="s">
        <v>105</v>
      </c>
      <c r="C69" s="18" t="s">
        <v>4</v>
      </c>
      <c r="D69" s="97" t="s">
        <v>42</v>
      </c>
      <c r="E69" s="98" t="s">
        <v>45</v>
      </c>
      <c r="F69" s="104" t="s">
        <v>48</v>
      </c>
      <c r="G69" s="87" t="b">
        <v>0</v>
      </c>
      <c r="H69" s="87" t="b">
        <v>0</v>
      </c>
      <c r="I69" s="87" t="b">
        <v>0</v>
      </c>
      <c r="J69" s="87" t="b">
        <v>0</v>
      </c>
      <c r="K69" s="87" t="b">
        <v>0</v>
      </c>
      <c r="L69" s="87" t="b">
        <v>0</v>
      </c>
      <c r="M69" s="87" t="b">
        <v>0</v>
      </c>
      <c r="N69" s="87" t="b">
        <v>0</v>
      </c>
      <c r="O69" s="87" t="b">
        <v>0</v>
      </c>
      <c r="P69" s="87" t="b">
        <v>0</v>
      </c>
      <c r="Q69" s="87" t="b">
        <v>0</v>
      </c>
      <c r="R69" s="87" t="b">
        <v>0</v>
      </c>
      <c r="S69" s="87" t="b">
        <v>0</v>
      </c>
      <c r="T69" s="87" t="b">
        <v>0</v>
      </c>
      <c r="U69" s="87" t="b">
        <v>0</v>
      </c>
      <c r="V69" s="87" t="b">
        <v>0</v>
      </c>
      <c r="W69" s="87" t="b">
        <v>0</v>
      </c>
      <c r="X69" s="87" t="b">
        <v>0</v>
      </c>
      <c r="Y69" s="87" t="b">
        <v>0</v>
      </c>
      <c r="Z69" s="87" t="b">
        <v>0</v>
      </c>
      <c r="AA69" s="87" t="b">
        <v>0</v>
      </c>
      <c r="AB69" s="87" t="b">
        <v>0</v>
      </c>
      <c r="AC69" s="87" t="b">
        <v>0</v>
      </c>
      <c r="AD69" s="87" t="b">
        <v>0</v>
      </c>
      <c r="AE69" s="87" t="b">
        <v>0</v>
      </c>
      <c r="AF69" s="87" t="b">
        <v>0</v>
      </c>
      <c r="AG69" s="87" t="b">
        <v>0</v>
      </c>
      <c r="AH69" s="87" t="b">
        <v>0</v>
      </c>
      <c r="AI69" s="87" t="b">
        <v>0</v>
      </c>
      <c r="AJ69" s="87" t="b">
        <v>0</v>
      </c>
      <c r="AK69" s="87" t="b">
        <v>0</v>
      </c>
      <c r="AL69" s="4" cm="1">
        <f t="array" ref="AL69">SUMPRODUCT(
--(G69:AK69=FALSE),
--(ISNA(MATCH(G$5:AK$5,'holiday list'!A:A,0)))
)</f>
        <v>26</v>
      </c>
      <c r="AM69" s="4">
        <f t="shared" si="3"/>
        <v>0</v>
      </c>
      <c r="AN69" s="89">
        <f t="shared" si="2"/>
        <v>0</v>
      </c>
    </row>
    <row r="70" spans="1:40" x14ac:dyDescent="0.35">
      <c r="A70" s="5">
        <v>65</v>
      </c>
      <c r="B70" s="18" t="s">
        <v>106</v>
      </c>
      <c r="C70" s="18" t="s">
        <v>4</v>
      </c>
      <c r="D70" s="97" t="s">
        <v>70</v>
      </c>
      <c r="E70" s="98" t="s">
        <v>45</v>
      </c>
      <c r="F70" s="104" t="s">
        <v>48</v>
      </c>
      <c r="G70" s="87" t="b">
        <v>0</v>
      </c>
      <c r="H70" s="87" t="b">
        <v>0</v>
      </c>
      <c r="I70" s="87" t="b">
        <v>0</v>
      </c>
      <c r="J70" s="87" t="b">
        <v>0</v>
      </c>
      <c r="K70" s="87" t="b">
        <v>0</v>
      </c>
      <c r="L70" s="87" t="b">
        <v>0</v>
      </c>
      <c r="M70" s="87" t="b">
        <v>0</v>
      </c>
      <c r="N70" s="87" t="b">
        <v>0</v>
      </c>
      <c r="O70" s="87" t="b">
        <v>0</v>
      </c>
      <c r="P70" s="87" t="b">
        <v>0</v>
      </c>
      <c r="Q70" s="87" t="b">
        <v>0</v>
      </c>
      <c r="R70" s="87" t="b">
        <v>0</v>
      </c>
      <c r="S70" s="87" t="b">
        <v>0</v>
      </c>
      <c r="T70" s="87" t="b">
        <v>0</v>
      </c>
      <c r="U70" s="87" t="b">
        <v>0</v>
      </c>
      <c r="V70" s="87" t="b">
        <v>0</v>
      </c>
      <c r="W70" s="87" t="b">
        <v>0</v>
      </c>
      <c r="X70" s="87" t="b">
        <v>0</v>
      </c>
      <c r="Y70" s="87" t="b">
        <v>0</v>
      </c>
      <c r="Z70" s="87" t="b">
        <v>0</v>
      </c>
      <c r="AA70" s="87" t="b">
        <v>0</v>
      </c>
      <c r="AB70" s="87" t="b">
        <v>0</v>
      </c>
      <c r="AC70" s="87" t="b">
        <v>0</v>
      </c>
      <c r="AD70" s="87" t="b">
        <v>0</v>
      </c>
      <c r="AE70" s="87" t="b">
        <v>0</v>
      </c>
      <c r="AF70" s="87" t="b">
        <v>0</v>
      </c>
      <c r="AG70" s="87" t="b">
        <v>0</v>
      </c>
      <c r="AH70" s="87" t="b">
        <v>0</v>
      </c>
      <c r="AI70" s="87" t="b">
        <v>0</v>
      </c>
      <c r="AJ70" s="87" t="b">
        <v>0</v>
      </c>
      <c r="AK70" s="87" t="b">
        <v>0</v>
      </c>
      <c r="AL70" s="4" cm="1">
        <f t="array" ref="AL70">SUMPRODUCT(
--(G70:AK70=FALSE),
--(ISNA(MATCH(G$5:AK$5,'holiday list'!A:A,0)))
)</f>
        <v>26</v>
      </c>
      <c r="AM70" s="4">
        <f t="shared" ref="AM70:AM91" si="4">COUNTIF(G70:AK70,TRUE)</f>
        <v>0</v>
      </c>
      <c r="AN70" s="89">
        <f t="shared" si="2"/>
        <v>0</v>
      </c>
    </row>
    <row r="71" spans="1:40" x14ac:dyDescent="0.35">
      <c r="A71" s="5">
        <v>66</v>
      </c>
      <c r="B71" s="18" t="s">
        <v>107</v>
      </c>
      <c r="C71" s="18" t="s">
        <v>4</v>
      </c>
      <c r="D71" s="97" t="s">
        <v>53</v>
      </c>
      <c r="E71" s="98" t="s">
        <v>45</v>
      </c>
      <c r="F71" s="104" t="s">
        <v>48</v>
      </c>
      <c r="G71" s="87" t="b">
        <v>0</v>
      </c>
      <c r="H71" s="87" t="b">
        <v>0</v>
      </c>
      <c r="I71" s="87" t="b">
        <v>0</v>
      </c>
      <c r="J71" s="87" t="b">
        <v>0</v>
      </c>
      <c r="K71" s="87" t="b">
        <v>0</v>
      </c>
      <c r="L71" s="87" t="b">
        <v>0</v>
      </c>
      <c r="M71" s="87" t="b">
        <v>0</v>
      </c>
      <c r="N71" s="87" t="b">
        <v>0</v>
      </c>
      <c r="O71" s="87" t="b">
        <v>0</v>
      </c>
      <c r="P71" s="87" t="b">
        <v>0</v>
      </c>
      <c r="Q71" s="87" t="b">
        <v>0</v>
      </c>
      <c r="R71" s="87" t="b">
        <v>0</v>
      </c>
      <c r="S71" s="87" t="b">
        <v>0</v>
      </c>
      <c r="T71" s="87" t="b">
        <v>0</v>
      </c>
      <c r="U71" s="87" t="b">
        <v>0</v>
      </c>
      <c r="V71" s="87" t="b">
        <v>0</v>
      </c>
      <c r="W71" s="87" t="b">
        <v>0</v>
      </c>
      <c r="X71" s="87" t="b">
        <v>0</v>
      </c>
      <c r="Y71" s="87" t="b">
        <v>0</v>
      </c>
      <c r="Z71" s="87" t="b">
        <v>0</v>
      </c>
      <c r="AA71" s="87" t="b">
        <v>0</v>
      </c>
      <c r="AB71" s="87" t="b">
        <v>0</v>
      </c>
      <c r="AC71" s="87" t="b">
        <v>0</v>
      </c>
      <c r="AD71" s="87" t="b">
        <v>0</v>
      </c>
      <c r="AE71" s="87" t="b">
        <v>0</v>
      </c>
      <c r="AF71" s="87" t="b">
        <v>0</v>
      </c>
      <c r="AG71" s="87" t="b">
        <v>0</v>
      </c>
      <c r="AH71" s="87" t="b">
        <v>0</v>
      </c>
      <c r="AI71" s="87" t="b">
        <v>0</v>
      </c>
      <c r="AJ71" s="87" t="b">
        <v>0</v>
      </c>
      <c r="AK71" s="87" t="b">
        <v>0</v>
      </c>
      <c r="AL71" s="4" cm="1">
        <f t="array" ref="AL71">SUMPRODUCT(
--(G71:AK71=FALSE),
--(ISNA(MATCH(G$5:AK$5,'holiday list'!A:A,0)))
)</f>
        <v>26</v>
      </c>
      <c r="AM71" s="4">
        <f t="shared" si="4"/>
        <v>0</v>
      </c>
      <c r="AN71" s="89">
        <f t="shared" ref="AN71:AN91" si="5">AM71/28</f>
        <v>0</v>
      </c>
    </row>
    <row r="72" spans="1:40" ht="15" thickBot="1" x14ac:dyDescent="0.4">
      <c r="A72" s="5">
        <v>67</v>
      </c>
      <c r="B72" s="19" t="s">
        <v>108</v>
      </c>
      <c r="C72" s="21" t="s">
        <v>4</v>
      </c>
      <c r="D72" s="100" t="s">
        <v>124</v>
      </c>
      <c r="E72" s="98" t="s">
        <v>45</v>
      </c>
      <c r="F72" s="104" t="s">
        <v>48</v>
      </c>
      <c r="G72" s="87" t="b">
        <v>0</v>
      </c>
      <c r="H72" s="87" t="b">
        <v>0</v>
      </c>
      <c r="I72" s="87" t="b">
        <v>0</v>
      </c>
      <c r="J72" s="87" t="b">
        <v>0</v>
      </c>
      <c r="K72" s="87" t="b">
        <v>0</v>
      </c>
      <c r="L72" s="87" t="b">
        <v>0</v>
      </c>
      <c r="M72" s="87" t="b">
        <v>0</v>
      </c>
      <c r="N72" s="87" t="b">
        <v>0</v>
      </c>
      <c r="O72" s="87" t="b">
        <v>0</v>
      </c>
      <c r="P72" s="87" t="b">
        <v>0</v>
      </c>
      <c r="Q72" s="87" t="b">
        <v>0</v>
      </c>
      <c r="R72" s="87" t="b">
        <v>0</v>
      </c>
      <c r="S72" s="87" t="b">
        <v>0</v>
      </c>
      <c r="T72" s="87" t="b">
        <v>0</v>
      </c>
      <c r="U72" s="87" t="b">
        <v>0</v>
      </c>
      <c r="V72" s="87" t="b">
        <v>0</v>
      </c>
      <c r="W72" s="87" t="b">
        <v>0</v>
      </c>
      <c r="X72" s="87" t="b">
        <v>0</v>
      </c>
      <c r="Y72" s="87" t="b">
        <v>0</v>
      </c>
      <c r="Z72" s="87" t="b">
        <v>0</v>
      </c>
      <c r="AA72" s="87" t="b">
        <v>0</v>
      </c>
      <c r="AB72" s="87" t="b">
        <v>0</v>
      </c>
      <c r="AC72" s="87" t="b">
        <v>0</v>
      </c>
      <c r="AD72" s="87" t="b">
        <v>0</v>
      </c>
      <c r="AE72" s="87" t="b">
        <v>0</v>
      </c>
      <c r="AF72" s="87" t="b">
        <v>0</v>
      </c>
      <c r="AG72" s="87" t="b">
        <v>0</v>
      </c>
      <c r="AH72" s="87" t="b">
        <v>0</v>
      </c>
      <c r="AI72" s="87" t="b">
        <v>0</v>
      </c>
      <c r="AJ72" s="87" t="b">
        <v>0</v>
      </c>
      <c r="AK72" s="87" t="b">
        <v>0</v>
      </c>
      <c r="AL72" s="4" cm="1">
        <f t="array" ref="AL72">SUMPRODUCT(
--(G72:AK72=FALSE),
--(ISNA(MATCH(G$5:AK$5,'holiday list'!A:A,0)))
)</f>
        <v>26</v>
      </c>
      <c r="AM72" s="4">
        <f t="shared" si="4"/>
        <v>0</v>
      </c>
      <c r="AN72" s="89">
        <f t="shared" si="5"/>
        <v>0</v>
      </c>
    </row>
    <row r="73" spans="1:40" x14ac:dyDescent="0.35">
      <c r="A73" s="5">
        <v>68</v>
      </c>
      <c r="B73" s="19" t="s">
        <v>109</v>
      </c>
      <c r="C73" s="66" t="s">
        <v>4</v>
      </c>
      <c r="D73" s="97" t="s">
        <v>53</v>
      </c>
      <c r="E73" s="98" t="s">
        <v>45</v>
      </c>
      <c r="F73" s="104" t="s">
        <v>48</v>
      </c>
      <c r="G73" s="87" t="b">
        <v>0</v>
      </c>
      <c r="H73" s="87" t="b">
        <v>0</v>
      </c>
      <c r="I73" s="87" t="b">
        <v>0</v>
      </c>
      <c r="J73" s="87" t="b">
        <v>0</v>
      </c>
      <c r="K73" s="87" t="b">
        <v>0</v>
      </c>
      <c r="L73" s="87" t="b">
        <v>0</v>
      </c>
      <c r="M73" s="87" t="b">
        <v>0</v>
      </c>
      <c r="N73" s="87" t="b">
        <v>0</v>
      </c>
      <c r="O73" s="87" t="b">
        <v>0</v>
      </c>
      <c r="P73" s="87" t="b">
        <v>0</v>
      </c>
      <c r="Q73" s="87" t="b">
        <v>0</v>
      </c>
      <c r="R73" s="87" t="b">
        <v>0</v>
      </c>
      <c r="S73" s="87" t="b">
        <v>0</v>
      </c>
      <c r="T73" s="87" t="b">
        <v>0</v>
      </c>
      <c r="U73" s="87" t="b">
        <v>0</v>
      </c>
      <c r="V73" s="87" t="b">
        <v>0</v>
      </c>
      <c r="W73" s="87" t="b">
        <v>0</v>
      </c>
      <c r="X73" s="87" t="b">
        <v>0</v>
      </c>
      <c r="Y73" s="87" t="b">
        <v>0</v>
      </c>
      <c r="Z73" s="87" t="b">
        <v>0</v>
      </c>
      <c r="AA73" s="87" t="b">
        <v>0</v>
      </c>
      <c r="AB73" s="87" t="b">
        <v>0</v>
      </c>
      <c r="AC73" s="87" t="b">
        <v>0</v>
      </c>
      <c r="AD73" s="87" t="b">
        <v>0</v>
      </c>
      <c r="AE73" s="87" t="b">
        <v>0</v>
      </c>
      <c r="AF73" s="87" t="b">
        <v>0</v>
      </c>
      <c r="AG73" s="87" t="b">
        <v>0</v>
      </c>
      <c r="AH73" s="87" t="b">
        <v>0</v>
      </c>
      <c r="AI73" s="87" t="b">
        <v>0</v>
      </c>
      <c r="AJ73" s="87" t="b">
        <v>0</v>
      </c>
      <c r="AK73" s="87" t="b">
        <v>0</v>
      </c>
      <c r="AL73" s="4" cm="1">
        <f t="array" ref="AL73">SUMPRODUCT(
--(G73:AK73=FALSE),
--(ISNA(MATCH(G$5:AK$5,'holiday list'!A:A,0)))
)</f>
        <v>26</v>
      </c>
      <c r="AM73" s="4">
        <f t="shared" si="4"/>
        <v>0</v>
      </c>
      <c r="AN73" s="89">
        <f t="shared" si="5"/>
        <v>0</v>
      </c>
    </row>
    <row r="74" spans="1:40" x14ac:dyDescent="0.35">
      <c r="A74" s="5">
        <v>69</v>
      </c>
      <c r="B74" s="17" t="s">
        <v>184</v>
      </c>
      <c r="C74" s="17" t="s">
        <v>185</v>
      </c>
      <c r="D74" s="97" t="s">
        <v>42</v>
      </c>
      <c r="E74" s="98" t="s">
        <v>43</v>
      </c>
      <c r="F74" s="99" t="s">
        <v>169</v>
      </c>
      <c r="G74" s="87" t="b">
        <v>0</v>
      </c>
      <c r="H74" s="87" t="b">
        <v>0</v>
      </c>
      <c r="I74" s="87" t="b">
        <v>0</v>
      </c>
      <c r="J74" s="87" t="b">
        <v>0</v>
      </c>
      <c r="K74" s="87" t="b">
        <v>0</v>
      </c>
      <c r="L74" s="87" t="b">
        <v>0</v>
      </c>
      <c r="M74" s="87" t="b">
        <v>0</v>
      </c>
      <c r="N74" s="87" t="b">
        <v>0</v>
      </c>
      <c r="O74" s="87" t="b">
        <v>0</v>
      </c>
      <c r="P74" s="87" t="b">
        <v>0</v>
      </c>
      <c r="Q74" s="87" t="b">
        <v>0</v>
      </c>
      <c r="R74" s="87" t="b">
        <v>0</v>
      </c>
      <c r="S74" s="87" t="b">
        <v>0</v>
      </c>
      <c r="T74" s="87" t="b">
        <v>0</v>
      </c>
      <c r="U74" s="87" t="b">
        <v>0</v>
      </c>
      <c r="V74" s="87" t="b">
        <v>0</v>
      </c>
      <c r="W74" s="87" t="b">
        <v>0</v>
      </c>
      <c r="X74" s="87" t="b">
        <v>0</v>
      </c>
      <c r="Y74" s="87" t="b">
        <v>0</v>
      </c>
      <c r="Z74" s="87" t="b">
        <v>0</v>
      </c>
      <c r="AA74" s="87" t="b">
        <v>0</v>
      </c>
      <c r="AB74" s="87" t="b">
        <v>0</v>
      </c>
      <c r="AC74" s="87" t="b">
        <v>0</v>
      </c>
      <c r="AD74" s="87" t="b">
        <v>0</v>
      </c>
      <c r="AE74" s="87" t="b">
        <v>0</v>
      </c>
      <c r="AF74" s="87" t="b">
        <v>0</v>
      </c>
      <c r="AG74" s="87" t="b">
        <v>0</v>
      </c>
      <c r="AH74" s="87" t="b">
        <v>0</v>
      </c>
      <c r="AI74" s="87" t="b">
        <v>0</v>
      </c>
      <c r="AJ74" s="87" t="b">
        <v>0</v>
      </c>
      <c r="AK74" s="87" t="b">
        <v>0</v>
      </c>
      <c r="AL74" s="4" cm="1">
        <f t="array" ref="AL74">SUMPRODUCT(
--(G74:AK74=FALSE),
--(ISNA(MATCH(G$5:AK$5,'holiday list'!A:A,0)))
)</f>
        <v>26</v>
      </c>
      <c r="AM74" s="4">
        <f t="shared" si="4"/>
        <v>0</v>
      </c>
      <c r="AN74" s="89">
        <f t="shared" si="5"/>
        <v>0</v>
      </c>
    </row>
    <row r="75" spans="1:40" x14ac:dyDescent="0.35">
      <c r="A75" s="5">
        <v>70</v>
      </c>
      <c r="B75" s="17" t="s">
        <v>186</v>
      </c>
      <c r="C75" s="17" t="s">
        <v>179</v>
      </c>
      <c r="D75" s="97" t="s">
        <v>53</v>
      </c>
      <c r="E75" s="98" t="s">
        <v>45</v>
      </c>
      <c r="F75" s="99" t="s">
        <v>169</v>
      </c>
      <c r="G75" s="87" t="b">
        <v>0</v>
      </c>
      <c r="H75" s="87" t="b">
        <v>0</v>
      </c>
      <c r="I75" s="87" t="b">
        <v>0</v>
      </c>
      <c r="J75" s="87" t="b">
        <v>0</v>
      </c>
      <c r="K75" s="87" t="b">
        <v>0</v>
      </c>
      <c r="L75" s="87" t="b">
        <v>0</v>
      </c>
      <c r="M75" s="87" t="b">
        <v>0</v>
      </c>
      <c r="N75" s="87" t="b">
        <v>0</v>
      </c>
      <c r="O75" s="87" t="b">
        <v>0</v>
      </c>
      <c r="P75" s="87" t="b">
        <v>0</v>
      </c>
      <c r="Q75" s="87" t="b">
        <v>0</v>
      </c>
      <c r="R75" s="87" t="b">
        <v>0</v>
      </c>
      <c r="S75" s="87" t="b">
        <v>0</v>
      </c>
      <c r="T75" s="87" t="b">
        <v>0</v>
      </c>
      <c r="U75" s="87" t="b">
        <v>0</v>
      </c>
      <c r="V75" s="87" t="b">
        <v>0</v>
      </c>
      <c r="W75" s="87" t="b">
        <v>0</v>
      </c>
      <c r="X75" s="87" t="b">
        <v>0</v>
      </c>
      <c r="Y75" s="87" t="b">
        <v>0</v>
      </c>
      <c r="Z75" s="87" t="b">
        <v>0</v>
      </c>
      <c r="AA75" s="87" t="b">
        <v>0</v>
      </c>
      <c r="AB75" s="87" t="b">
        <v>0</v>
      </c>
      <c r="AC75" s="87" t="b">
        <v>0</v>
      </c>
      <c r="AD75" s="87" t="b">
        <v>0</v>
      </c>
      <c r="AE75" s="87" t="b">
        <v>0</v>
      </c>
      <c r="AF75" s="87" t="b">
        <v>0</v>
      </c>
      <c r="AG75" s="87" t="b">
        <v>0</v>
      </c>
      <c r="AH75" s="87" t="b">
        <v>0</v>
      </c>
      <c r="AI75" s="87" t="b">
        <v>0</v>
      </c>
      <c r="AJ75" s="87" t="b">
        <v>0</v>
      </c>
      <c r="AK75" s="87" t="b">
        <v>0</v>
      </c>
      <c r="AL75" s="4" cm="1">
        <f t="array" ref="AL75">SUMPRODUCT(
--(G75:AK75=FALSE),
--(ISNA(MATCH(G$5:AK$5,'holiday list'!A:A,0)))
)</f>
        <v>26</v>
      </c>
      <c r="AM75" s="4">
        <f t="shared" si="4"/>
        <v>0</v>
      </c>
      <c r="AN75" s="89">
        <f t="shared" si="5"/>
        <v>0</v>
      </c>
    </row>
    <row r="76" spans="1:40" x14ac:dyDescent="0.35">
      <c r="A76" s="5">
        <v>71</v>
      </c>
      <c r="B76" s="17" t="s">
        <v>187</v>
      </c>
      <c r="C76" s="17" t="s">
        <v>179</v>
      </c>
      <c r="D76" s="97" t="s">
        <v>42</v>
      </c>
      <c r="E76" s="98" t="s">
        <v>43</v>
      </c>
      <c r="F76" s="99" t="s">
        <v>169</v>
      </c>
      <c r="G76" s="87" t="b">
        <v>0</v>
      </c>
      <c r="H76" s="87" t="b">
        <v>0</v>
      </c>
      <c r="I76" s="87" t="b">
        <v>0</v>
      </c>
      <c r="J76" s="87" t="b">
        <v>0</v>
      </c>
      <c r="K76" s="87" t="b">
        <v>0</v>
      </c>
      <c r="L76" s="87" t="b">
        <v>0</v>
      </c>
      <c r="M76" s="87" t="b">
        <v>0</v>
      </c>
      <c r="N76" s="87" t="b">
        <v>0</v>
      </c>
      <c r="O76" s="87" t="b">
        <v>0</v>
      </c>
      <c r="P76" s="87" t="b">
        <v>0</v>
      </c>
      <c r="Q76" s="87" t="b">
        <v>0</v>
      </c>
      <c r="R76" s="87" t="b">
        <v>0</v>
      </c>
      <c r="S76" s="87" t="b">
        <v>0</v>
      </c>
      <c r="T76" s="87" t="b">
        <v>0</v>
      </c>
      <c r="U76" s="87" t="b">
        <v>0</v>
      </c>
      <c r="V76" s="87" t="b">
        <v>0</v>
      </c>
      <c r="W76" s="87" t="b">
        <v>0</v>
      </c>
      <c r="X76" s="87" t="b">
        <v>0</v>
      </c>
      <c r="Y76" s="87" t="b">
        <v>0</v>
      </c>
      <c r="Z76" s="87" t="b">
        <v>0</v>
      </c>
      <c r="AA76" s="87" t="b">
        <v>0</v>
      </c>
      <c r="AB76" s="87" t="b">
        <v>0</v>
      </c>
      <c r="AC76" s="87" t="b">
        <v>0</v>
      </c>
      <c r="AD76" s="87" t="b">
        <v>0</v>
      </c>
      <c r="AE76" s="87" t="b">
        <v>0</v>
      </c>
      <c r="AF76" s="87" t="b">
        <v>0</v>
      </c>
      <c r="AG76" s="87" t="b">
        <v>0</v>
      </c>
      <c r="AH76" s="87" t="b">
        <v>0</v>
      </c>
      <c r="AI76" s="87" t="b">
        <v>0</v>
      </c>
      <c r="AJ76" s="87" t="b">
        <v>0</v>
      </c>
      <c r="AK76" s="87" t="b">
        <v>0</v>
      </c>
      <c r="AL76" s="4" cm="1">
        <f t="array" ref="AL76">SUMPRODUCT(
--(G76:AK76=FALSE),
--(ISNA(MATCH(G$5:AK$5,'holiday list'!A:A,0)))
)</f>
        <v>26</v>
      </c>
      <c r="AM76" s="4">
        <f t="shared" si="4"/>
        <v>0</v>
      </c>
      <c r="AN76" s="89">
        <f t="shared" si="5"/>
        <v>0</v>
      </c>
    </row>
    <row r="77" spans="1:40" x14ac:dyDescent="0.35">
      <c r="A77" s="5">
        <v>72</v>
      </c>
      <c r="B77" s="18" t="s">
        <v>111</v>
      </c>
      <c r="C77" s="17" t="s">
        <v>5</v>
      </c>
      <c r="D77" s="97" t="s">
        <v>42</v>
      </c>
      <c r="E77" s="98" t="s">
        <v>43</v>
      </c>
      <c r="F77" s="99" t="s">
        <v>48</v>
      </c>
      <c r="G77" s="87" t="b">
        <v>0</v>
      </c>
      <c r="H77" s="87" t="b">
        <v>0</v>
      </c>
      <c r="I77" s="87" t="b">
        <v>0</v>
      </c>
      <c r="J77" s="87" t="b">
        <v>0</v>
      </c>
      <c r="K77" s="87" t="b">
        <v>0</v>
      </c>
      <c r="L77" s="87" t="b">
        <v>0</v>
      </c>
      <c r="M77" s="87" t="b">
        <v>0</v>
      </c>
      <c r="N77" s="87" t="b">
        <v>0</v>
      </c>
      <c r="O77" s="87" t="b">
        <v>0</v>
      </c>
      <c r="P77" s="87" t="b">
        <v>0</v>
      </c>
      <c r="Q77" s="87" t="b">
        <v>0</v>
      </c>
      <c r="R77" s="87" t="b">
        <v>0</v>
      </c>
      <c r="S77" s="87" t="b">
        <v>0</v>
      </c>
      <c r="T77" s="87" t="b">
        <v>0</v>
      </c>
      <c r="U77" s="87" t="b">
        <v>0</v>
      </c>
      <c r="V77" s="87" t="b">
        <v>0</v>
      </c>
      <c r="W77" s="87" t="b">
        <v>0</v>
      </c>
      <c r="X77" s="87" t="b">
        <v>0</v>
      </c>
      <c r="Y77" s="87" t="b">
        <v>0</v>
      </c>
      <c r="Z77" s="87" t="b">
        <v>0</v>
      </c>
      <c r="AA77" s="87" t="b">
        <v>0</v>
      </c>
      <c r="AB77" s="87" t="b">
        <v>0</v>
      </c>
      <c r="AC77" s="87" t="b">
        <v>0</v>
      </c>
      <c r="AD77" s="87" t="b">
        <v>0</v>
      </c>
      <c r="AE77" s="87" t="b">
        <v>0</v>
      </c>
      <c r="AF77" s="87" t="b">
        <v>0</v>
      </c>
      <c r="AG77" s="87" t="b">
        <v>0</v>
      </c>
      <c r="AH77" s="87" t="b">
        <v>0</v>
      </c>
      <c r="AI77" s="87" t="b">
        <v>0</v>
      </c>
      <c r="AJ77" s="87" t="b">
        <v>0</v>
      </c>
      <c r="AK77" s="87" t="b">
        <v>0</v>
      </c>
      <c r="AL77" s="4" cm="1">
        <f t="array" ref="AL77">SUMPRODUCT(
--(G77:AK77=FALSE),
--(ISNA(MATCH(G$5:AK$5,'holiday list'!A:A,0)))
)</f>
        <v>26</v>
      </c>
      <c r="AM77" s="4">
        <f t="shared" si="4"/>
        <v>0</v>
      </c>
      <c r="AN77" s="89">
        <f t="shared" si="5"/>
        <v>0</v>
      </c>
    </row>
    <row r="78" spans="1:40" x14ac:dyDescent="0.35">
      <c r="A78" s="5">
        <v>73</v>
      </c>
      <c r="B78" s="18" t="s">
        <v>112</v>
      </c>
      <c r="C78" s="17" t="s">
        <v>5</v>
      </c>
      <c r="D78" s="97" t="s">
        <v>53</v>
      </c>
      <c r="E78" s="98" t="s">
        <v>43</v>
      </c>
      <c r="F78" s="99" t="s">
        <v>48</v>
      </c>
      <c r="G78" s="87" t="b">
        <v>0</v>
      </c>
      <c r="H78" s="87" t="b">
        <v>0</v>
      </c>
      <c r="I78" s="87" t="b">
        <v>0</v>
      </c>
      <c r="J78" s="87" t="b">
        <v>0</v>
      </c>
      <c r="K78" s="87" t="b">
        <v>0</v>
      </c>
      <c r="L78" s="87" t="b">
        <v>0</v>
      </c>
      <c r="M78" s="87" t="b">
        <v>0</v>
      </c>
      <c r="N78" s="87" t="b">
        <v>0</v>
      </c>
      <c r="O78" s="87" t="b">
        <v>0</v>
      </c>
      <c r="P78" s="87" t="b">
        <v>0</v>
      </c>
      <c r="Q78" s="87" t="b">
        <v>0</v>
      </c>
      <c r="R78" s="87" t="b">
        <v>0</v>
      </c>
      <c r="S78" s="87" t="b">
        <v>0</v>
      </c>
      <c r="T78" s="87" t="b">
        <v>0</v>
      </c>
      <c r="U78" s="87" t="b">
        <v>0</v>
      </c>
      <c r="V78" s="87" t="b">
        <v>0</v>
      </c>
      <c r="W78" s="87" t="b">
        <v>0</v>
      </c>
      <c r="X78" s="87" t="b">
        <v>0</v>
      </c>
      <c r="Y78" s="87" t="b">
        <v>0</v>
      </c>
      <c r="Z78" s="87" t="b">
        <v>0</v>
      </c>
      <c r="AA78" s="87" t="b">
        <v>0</v>
      </c>
      <c r="AB78" s="87" t="b">
        <v>0</v>
      </c>
      <c r="AC78" s="87" t="b">
        <v>0</v>
      </c>
      <c r="AD78" s="87" t="b">
        <v>0</v>
      </c>
      <c r="AE78" s="87" t="b">
        <v>0</v>
      </c>
      <c r="AF78" s="87" t="b">
        <v>0</v>
      </c>
      <c r="AG78" s="87" t="b">
        <v>0</v>
      </c>
      <c r="AH78" s="87" t="b">
        <v>0</v>
      </c>
      <c r="AI78" s="87" t="b">
        <v>0</v>
      </c>
      <c r="AJ78" s="87" t="b">
        <v>0</v>
      </c>
      <c r="AK78" s="87" t="b">
        <v>0</v>
      </c>
      <c r="AL78" s="4" cm="1">
        <f t="array" ref="AL78">SUMPRODUCT(
--(G78:AK78=FALSE),
--(ISNA(MATCH(G$5:AK$5,'holiday list'!A:A,0)))
)</f>
        <v>26</v>
      </c>
      <c r="AM78" s="4">
        <f t="shared" si="4"/>
        <v>0</v>
      </c>
      <c r="AN78" s="89">
        <f t="shared" si="5"/>
        <v>0</v>
      </c>
    </row>
    <row r="79" spans="1:40" x14ac:dyDescent="0.35">
      <c r="A79" s="5">
        <v>74</v>
      </c>
      <c r="B79" s="18" t="s">
        <v>113</v>
      </c>
      <c r="C79" s="17" t="s">
        <v>5</v>
      </c>
      <c r="D79" s="97" t="s">
        <v>53</v>
      </c>
      <c r="E79" s="98" t="s">
        <v>45</v>
      </c>
      <c r="F79" s="99" t="s">
        <v>48</v>
      </c>
      <c r="G79" s="87" t="b">
        <v>0</v>
      </c>
      <c r="H79" s="87" t="b">
        <v>0</v>
      </c>
      <c r="I79" s="87" t="b">
        <v>0</v>
      </c>
      <c r="J79" s="87" t="b">
        <v>0</v>
      </c>
      <c r="K79" s="87" t="b">
        <v>0</v>
      </c>
      <c r="L79" s="87" t="b">
        <v>0</v>
      </c>
      <c r="M79" s="87" t="b">
        <v>0</v>
      </c>
      <c r="N79" s="87" t="b">
        <v>0</v>
      </c>
      <c r="O79" s="87" t="b">
        <v>0</v>
      </c>
      <c r="P79" s="87" t="b">
        <v>0</v>
      </c>
      <c r="Q79" s="87" t="b">
        <v>0</v>
      </c>
      <c r="R79" s="87" t="b">
        <v>0</v>
      </c>
      <c r="S79" s="87" t="b">
        <v>0</v>
      </c>
      <c r="T79" s="87" t="b">
        <v>0</v>
      </c>
      <c r="U79" s="87" t="b">
        <v>0</v>
      </c>
      <c r="V79" s="87" t="b">
        <v>0</v>
      </c>
      <c r="W79" s="87" t="b">
        <v>0</v>
      </c>
      <c r="X79" s="87" t="b">
        <v>0</v>
      </c>
      <c r="Y79" s="87" t="b">
        <v>0</v>
      </c>
      <c r="Z79" s="87" t="b">
        <v>0</v>
      </c>
      <c r="AA79" s="87" t="b">
        <v>0</v>
      </c>
      <c r="AB79" s="87" t="b">
        <v>0</v>
      </c>
      <c r="AC79" s="87" t="b">
        <v>0</v>
      </c>
      <c r="AD79" s="87" t="b">
        <v>0</v>
      </c>
      <c r="AE79" s="87" t="b">
        <v>0</v>
      </c>
      <c r="AF79" s="87" t="b">
        <v>0</v>
      </c>
      <c r="AG79" s="87" t="b">
        <v>0</v>
      </c>
      <c r="AH79" s="87" t="b">
        <v>0</v>
      </c>
      <c r="AI79" s="87" t="b">
        <v>0</v>
      </c>
      <c r="AJ79" s="87" t="b">
        <v>0</v>
      </c>
      <c r="AK79" s="87" t="b">
        <v>0</v>
      </c>
      <c r="AL79" s="4" cm="1">
        <f t="array" ref="AL79">SUMPRODUCT(
--(G79:AK79=FALSE),
--(ISNA(MATCH(G$5:AK$5,'holiday list'!A:A,0)))
)</f>
        <v>26</v>
      </c>
      <c r="AM79" s="4">
        <f t="shared" si="4"/>
        <v>0</v>
      </c>
      <c r="AN79" s="89">
        <f t="shared" si="5"/>
        <v>0</v>
      </c>
    </row>
    <row r="80" spans="1:40" x14ac:dyDescent="0.35">
      <c r="A80" s="5">
        <v>75</v>
      </c>
      <c r="B80" s="18" t="s">
        <v>22</v>
      </c>
      <c r="C80" s="17" t="s">
        <v>5</v>
      </c>
      <c r="D80" s="97" t="s">
        <v>53</v>
      </c>
      <c r="E80" s="98" t="s">
        <v>45</v>
      </c>
      <c r="F80" s="99" t="s">
        <v>48</v>
      </c>
      <c r="G80" s="87" t="b">
        <v>0</v>
      </c>
      <c r="H80" s="87" t="b">
        <v>0</v>
      </c>
      <c r="I80" s="87" t="b">
        <v>0</v>
      </c>
      <c r="J80" s="87" t="b">
        <v>0</v>
      </c>
      <c r="K80" s="87" t="b">
        <v>0</v>
      </c>
      <c r="L80" s="87" t="b">
        <v>0</v>
      </c>
      <c r="M80" s="87" t="b">
        <v>0</v>
      </c>
      <c r="N80" s="87" t="b">
        <v>0</v>
      </c>
      <c r="O80" s="87" t="b">
        <v>0</v>
      </c>
      <c r="P80" s="87" t="b">
        <v>0</v>
      </c>
      <c r="Q80" s="87" t="b">
        <v>0</v>
      </c>
      <c r="R80" s="87" t="b">
        <v>0</v>
      </c>
      <c r="S80" s="87" t="b">
        <v>0</v>
      </c>
      <c r="T80" s="87" t="b">
        <v>0</v>
      </c>
      <c r="U80" s="87" t="b">
        <v>0</v>
      </c>
      <c r="V80" s="87" t="b">
        <v>0</v>
      </c>
      <c r="W80" s="87" t="b">
        <v>0</v>
      </c>
      <c r="X80" s="87" t="b">
        <v>0</v>
      </c>
      <c r="Y80" s="87" t="b">
        <v>0</v>
      </c>
      <c r="Z80" s="87" t="b">
        <v>0</v>
      </c>
      <c r="AA80" s="87" t="b">
        <v>0</v>
      </c>
      <c r="AB80" s="87" t="b">
        <v>0</v>
      </c>
      <c r="AC80" s="87" t="b">
        <v>0</v>
      </c>
      <c r="AD80" s="87" t="b">
        <v>0</v>
      </c>
      <c r="AE80" s="87" t="b">
        <v>0</v>
      </c>
      <c r="AF80" s="87" t="b">
        <v>0</v>
      </c>
      <c r="AG80" s="87" t="b">
        <v>0</v>
      </c>
      <c r="AH80" s="87" t="b">
        <v>0</v>
      </c>
      <c r="AI80" s="87" t="b">
        <v>0</v>
      </c>
      <c r="AJ80" s="87" t="b">
        <v>0</v>
      </c>
      <c r="AK80" s="87" t="b">
        <v>0</v>
      </c>
      <c r="AL80" s="4" cm="1">
        <f t="array" ref="AL80">SUMPRODUCT(
--(G80:AK80=FALSE),
--(ISNA(MATCH(G$5:AK$5,'holiday list'!A:A,0)))
)</f>
        <v>26</v>
      </c>
      <c r="AM80" s="4">
        <f t="shared" si="4"/>
        <v>0</v>
      </c>
      <c r="AN80" s="89">
        <f t="shared" si="5"/>
        <v>0</v>
      </c>
    </row>
    <row r="81" spans="1:40" x14ac:dyDescent="0.35">
      <c r="A81" s="5">
        <v>76</v>
      </c>
      <c r="B81" s="18" t="s">
        <v>114</v>
      </c>
      <c r="C81" s="17" t="s">
        <v>5</v>
      </c>
      <c r="D81" s="97" t="s">
        <v>53</v>
      </c>
      <c r="E81" s="98" t="s">
        <v>45</v>
      </c>
      <c r="F81" s="99" t="s">
        <v>48</v>
      </c>
      <c r="G81" s="87" t="b">
        <v>0</v>
      </c>
      <c r="H81" s="87" t="b">
        <v>0</v>
      </c>
      <c r="I81" s="87" t="b">
        <v>0</v>
      </c>
      <c r="J81" s="87" t="b">
        <v>0</v>
      </c>
      <c r="K81" s="87" t="b">
        <v>0</v>
      </c>
      <c r="L81" s="87" t="b">
        <v>0</v>
      </c>
      <c r="M81" s="87" t="b">
        <v>0</v>
      </c>
      <c r="N81" s="87" t="b">
        <v>0</v>
      </c>
      <c r="O81" s="87" t="b">
        <v>0</v>
      </c>
      <c r="P81" s="87" t="b">
        <v>0</v>
      </c>
      <c r="Q81" s="87" t="b">
        <v>0</v>
      </c>
      <c r="R81" s="87" t="b">
        <v>0</v>
      </c>
      <c r="S81" s="87" t="b">
        <v>0</v>
      </c>
      <c r="T81" s="87" t="b">
        <v>0</v>
      </c>
      <c r="U81" s="87" t="b">
        <v>0</v>
      </c>
      <c r="V81" s="87" t="b">
        <v>0</v>
      </c>
      <c r="W81" s="87" t="b">
        <v>0</v>
      </c>
      <c r="X81" s="87" t="b">
        <v>0</v>
      </c>
      <c r="Y81" s="87" t="b">
        <v>0</v>
      </c>
      <c r="Z81" s="87" t="b">
        <v>0</v>
      </c>
      <c r="AA81" s="87" t="b">
        <v>0</v>
      </c>
      <c r="AB81" s="87" t="b">
        <v>0</v>
      </c>
      <c r="AC81" s="87" t="b">
        <v>0</v>
      </c>
      <c r="AD81" s="87" t="b">
        <v>0</v>
      </c>
      <c r="AE81" s="87" t="b">
        <v>0</v>
      </c>
      <c r="AF81" s="87" t="b">
        <v>0</v>
      </c>
      <c r="AG81" s="87" t="b">
        <v>0</v>
      </c>
      <c r="AH81" s="87" t="b">
        <v>0</v>
      </c>
      <c r="AI81" s="87" t="b">
        <v>0</v>
      </c>
      <c r="AJ81" s="87" t="b">
        <v>0</v>
      </c>
      <c r="AK81" s="87" t="b">
        <v>0</v>
      </c>
      <c r="AL81" s="4" cm="1">
        <f t="array" ref="AL81">SUMPRODUCT(
--(G81:AK81=FALSE),
--(ISNA(MATCH(G$5:AK$5,'holiday list'!A:A,0)))
)</f>
        <v>26</v>
      </c>
      <c r="AM81" s="4">
        <f t="shared" si="4"/>
        <v>0</v>
      </c>
      <c r="AN81" s="89">
        <f t="shared" si="5"/>
        <v>0</v>
      </c>
    </row>
    <row r="82" spans="1:40" x14ac:dyDescent="0.35">
      <c r="A82" s="5">
        <v>77</v>
      </c>
      <c r="B82" s="17" t="s">
        <v>115</v>
      </c>
      <c r="C82" s="17" t="s">
        <v>5</v>
      </c>
      <c r="D82" s="97" t="s">
        <v>53</v>
      </c>
      <c r="E82" s="98" t="s">
        <v>45</v>
      </c>
      <c r="F82" s="99" t="s">
        <v>48</v>
      </c>
      <c r="G82" s="87" t="b">
        <v>0</v>
      </c>
      <c r="H82" s="87" t="b">
        <v>0</v>
      </c>
      <c r="I82" s="87" t="b">
        <v>0</v>
      </c>
      <c r="J82" s="87" t="b">
        <v>0</v>
      </c>
      <c r="K82" s="87" t="b">
        <v>0</v>
      </c>
      <c r="L82" s="87" t="b">
        <v>0</v>
      </c>
      <c r="M82" s="87" t="b">
        <v>0</v>
      </c>
      <c r="N82" s="87" t="b">
        <v>0</v>
      </c>
      <c r="O82" s="87" t="b">
        <v>0</v>
      </c>
      <c r="P82" s="87" t="b">
        <v>0</v>
      </c>
      <c r="Q82" s="87" t="b">
        <v>0</v>
      </c>
      <c r="R82" s="87" t="b">
        <v>0</v>
      </c>
      <c r="S82" s="87" t="b">
        <v>0</v>
      </c>
      <c r="T82" s="87" t="b">
        <v>0</v>
      </c>
      <c r="U82" s="87" t="b">
        <v>0</v>
      </c>
      <c r="V82" s="87" t="b">
        <v>0</v>
      </c>
      <c r="W82" s="87" t="b">
        <v>0</v>
      </c>
      <c r="X82" s="87" t="b">
        <v>0</v>
      </c>
      <c r="Y82" s="87" t="b">
        <v>0</v>
      </c>
      <c r="Z82" s="87" t="b">
        <v>0</v>
      </c>
      <c r="AA82" s="87" t="b">
        <v>0</v>
      </c>
      <c r="AB82" s="87" t="b">
        <v>0</v>
      </c>
      <c r="AC82" s="87" t="b">
        <v>0</v>
      </c>
      <c r="AD82" s="87" t="b">
        <v>0</v>
      </c>
      <c r="AE82" s="87" t="b">
        <v>0</v>
      </c>
      <c r="AF82" s="87" t="b">
        <v>0</v>
      </c>
      <c r="AG82" s="87" t="b">
        <v>0</v>
      </c>
      <c r="AH82" s="87" t="b">
        <v>0</v>
      </c>
      <c r="AI82" s="87" t="b">
        <v>0</v>
      </c>
      <c r="AJ82" s="87" t="b">
        <v>0</v>
      </c>
      <c r="AK82" s="87" t="b">
        <v>0</v>
      </c>
      <c r="AL82" s="4" cm="1">
        <f t="array" ref="AL82">SUMPRODUCT(
--(G82:AK82=FALSE),
--(ISNA(MATCH(G$5:AK$5,'holiday list'!A:A,0)))
)</f>
        <v>26</v>
      </c>
      <c r="AM82" s="4">
        <f t="shared" si="4"/>
        <v>0</v>
      </c>
      <c r="AN82" s="89">
        <f t="shared" si="5"/>
        <v>0</v>
      </c>
    </row>
    <row r="83" spans="1:40" x14ac:dyDescent="0.35">
      <c r="A83" s="5">
        <v>78</v>
      </c>
      <c r="B83" s="17" t="s">
        <v>130</v>
      </c>
      <c r="C83" s="17" t="s">
        <v>5</v>
      </c>
      <c r="D83" s="97" t="s">
        <v>53</v>
      </c>
      <c r="E83" s="98" t="s">
        <v>45</v>
      </c>
      <c r="F83" s="99" t="s">
        <v>48</v>
      </c>
      <c r="G83" s="87" t="b">
        <v>0</v>
      </c>
      <c r="H83" s="87" t="b">
        <v>0</v>
      </c>
      <c r="I83" s="87" t="b">
        <v>0</v>
      </c>
      <c r="J83" s="87" t="b">
        <v>0</v>
      </c>
      <c r="K83" s="87" t="b">
        <v>0</v>
      </c>
      <c r="L83" s="87" t="b">
        <v>0</v>
      </c>
      <c r="M83" s="87" t="b">
        <v>0</v>
      </c>
      <c r="N83" s="87" t="b">
        <v>0</v>
      </c>
      <c r="O83" s="87" t="b">
        <v>0</v>
      </c>
      <c r="P83" s="87" t="b">
        <v>0</v>
      </c>
      <c r="Q83" s="87" t="b">
        <v>0</v>
      </c>
      <c r="R83" s="87" t="b">
        <v>0</v>
      </c>
      <c r="S83" s="87" t="b">
        <v>0</v>
      </c>
      <c r="T83" s="87" t="b">
        <v>0</v>
      </c>
      <c r="U83" s="87" t="b">
        <v>0</v>
      </c>
      <c r="V83" s="87" t="b">
        <v>0</v>
      </c>
      <c r="W83" s="87" t="b">
        <v>0</v>
      </c>
      <c r="X83" s="87" t="b">
        <v>0</v>
      </c>
      <c r="Y83" s="87" t="b">
        <v>0</v>
      </c>
      <c r="Z83" s="87" t="b">
        <v>0</v>
      </c>
      <c r="AA83" s="87" t="b">
        <v>0</v>
      </c>
      <c r="AB83" s="87" t="b">
        <v>0</v>
      </c>
      <c r="AC83" s="87" t="b">
        <v>0</v>
      </c>
      <c r="AD83" s="87" t="b">
        <v>0</v>
      </c>
      <c r="AE83" s="87" t="b">
        <v>0</v>
      </c>
      <c r="AF83" s="87" t="b">
        <v>0</v>
      </c>
      <c r="AG83" s="87" t="b">
        <v>0</v>
      </c>
      <c r="AH83" s="87" t="b">
        <v>0</v>
      </c>
      <c r="AI83" s="87" t="b">
        <v>0</v>
      </c>
      <c r="AJ83" s="87" t="b">
        <v>0</v>
      </c>
      <c r="AK83" s="87" t="b">
        <v>0</v>
      </c>
      <c r="AL83" s="4" cm="1">
        <f t="array" ref="AL83">SUMPRODUCT(
--(G83:AK83=FALSE),
--(ISNA(MATCH(G$5:AK$5,'holiday list'!A:A,0)))
)</f>
        <v>26</v>
      </c>
      <c r="AM83" s="4">
        <f t="shared" si="4"/>
        <v>0</v>
      </c>
      <c r="AN83" s="89">
        <f t="shared" si="5"/>
        <v>0</v>
      </c>
    </row>
    <row r="84" spans="1:40" x14ac:dyDescent="0.35">
      <c r="A84" s="5">
        <v>79</v>
      </c>
      <c r="B84" s="17" t="s">
        <v>116</v>
      </c>
      <c r="C84" s="17" t="s">
        <v>5</v>
      </c>
      <c r="D84" s="97" t="s">
        <v>53</v>
      </c>
      <c r="E84" s="98" t="s">
        <v>43</v>
      </c>
      <c r="F84" s="99" t="s">
        <v>48</v>
      </c>
      <c r="G84" s="87" t="b">
        <v>0</v>
      </c>
      <c r="H84" s="87" t="b">
        <v>0</v>
      </c>
      <c r="I84" s="87" t="b">
        <v>0</v>
      </c>
      <c r="J84" s="87" t="b">
        <v>0</v>
      </c>
      <c r="K84" s="87" t="b">
        <v>0</v>
      </c>
      <c r="L84" s="87" t="b">
        <v>0</v>
      </c>
      <c r="M84" s="87" t="b">
        <v>0</v>
      </c>
      <c r="N84" s="87" t="b">
        <v>0</v>
      </c>
      <c r="O84" s="87" t="b">
        <v>0</v>
      </c>
      <c r="P84" s="87" t="b">
        <v>0</v>
      </c>
      <c r="Q84" s="87" t="b">
        <v>0</v>
      </c>
      <c r="R84" s="87" t="b">
        <v>0</v>
      </c>
      <c r="S84" s="87" t="b">
        <v>0</v>
      </c>
      <c r="T84" s="87" t="b">
        <v>0</v>
      </c>
      <c r="U84" s="87" t="b">
        <v>0</v>
      </c>
      <c r="V84" s="87" t="b">
        <v>0</v>
      </c>
      <c r="W84" s="87" t="b">
        <v>0</v>
      </c>
      <c r="X84" s="87" t="b">
        <v>0</v>
      </c>
      <c r="Y84" s="87" t="b">
        <v>0</v>
      </c>
      <c r="Z84" s="87" t="b">
        <v>0</v>
      </c>
      <c r="AA84" s="87" t="b">
        <v>0</v>
      </c>
      <c r="AB84" s="87" t="b">
        <v>0</v>
      </c>
      <c r="AC84" s="87" t="b">
        <v>0</v>
      </c>
      <c r="AD84" s="87" t="b">
        <v>0</v>
      </c>
      <c r="AE84" s="87" t="b">
        <v>0</v>
      </c>
      <c r="AF84" s="87" t="b">
        <v>0</v>
      </c>
      <c r="AG84" s="87" t="b">
        <v>0</v>
      </c>
      <c r="AH84" s="87" t="b">
        <v>0</v>
      </c>
      <c r="AI84" s="87" t="b">
        <v>0</v>
      </c>
      <c r="AJ84" s="87" t="b">
        <v>0</v>
      </c>
      <c r="AK84" s="87" t="b">
        <v>0</v>
      </c>
      <c r="AL84" s="4" cm="1">
        <f t="array" ref="AL84">SUMPRODUCT(
--(G84:AK84=FALSE),
--(ISNA(MATCH(G$5:AK$5,'holiday list'!A:A,0)))
)</f>
        <v>26</v>
      </c>
      <c r="AM84" s="4">
        <f t="shared" si="4"/>
        <v>0</v>
      </c>
      <c r="AN84" s="89">
        <f t="shared" si="5"/>
        <v>0</v>
      </c>
    </row>
    <row r="85" spans="1:40" x14ac:dyDescent="0.35">
      <c r="A85" s="5">
        <v>80</v>
      </c>
      <c r="B85" s="17" t="s">
        <v>188</v>
      </c>
      <c r="C85" s="17" t="s">
        <v>6</v>
      </c>
      <c r="D85" s="97" t="s">
        <v>53</v>
      </c>
      <c r="E85" s="98" t="s">
        <v>43</v>
      </c>
      <c r="F85" s="99" t="s">
        <v>169</v>
      </c>
      <c r="G85" s="87" t="b">
        <v>0</v>
      </c>
      <c r="H85" s="87" t="b">
        <v>0</v>
      </c>
      <c r="I85" s="87" t="b">
        <v>0</v>
      </c>
      <c r="J85" s="87" t="b">
        <v>0</v>
      </c>
      <c r="K85" s="87" t="b">
        <v>0</v>
      </c>
      <c r="L85" s="87" t="b">
        <v>0</v>
      </c>
      <c r="M85" s="87" t="b">
        <v>0</v>
      </c>
      <c r="N85" s="87" t="b">
        <v>0</v>
      </c>
      <c r="O85" s="87" t="b">
        <v>0</v>
      </c>
      <c r="P85" s="87" t="b">
        <v>0</v>
      </c>
      <c r="Q85" s="87" t="b">
        <v>0</v>
      </c>
      <c r="R85" s="87" t="b">
        <v>0</v>
      </c>
      <c r="S85" s="87" t="b">
        <v>0</v>
      </c>
      <c r="T85" s="87" t="b">
        <v>0</v>
      </c>
      <c r="U85" s="87" t="b">
        <v>0</v>
      </c>
      <c r="V85" s="87" t="b">
        <v>0</v>
      </c>
      <c r="W85" s="87" t="b">
        <v>0</v>
      </c>
      <c r="X85" s="87" t="b">
        <v>0</v>
      </c>
      <c r="Y85" s="87" t="b">
        <v>0</v>
      </c>
      <c r="Z85" s="87" t="b">
        <v>0</v>
      </c>
      <c r="AA85" s="87" t="b">
        <v>0</v>
      </c>
      <c r="AB85" s="87" t="b">
        <v>0</v>
      </c>
      <c r="AC85" s="87" t="b">
        <v>0</v>
      </c>
      <c r="AD85" s="87" t="b">
        <v>0</v>
      </c>
      <c r="AE85" s="87" t="b">
        <v>0</v>
      </c>
      <c r="AF85" s="87" t="b">
        <v>0</v>
      </c>
      <c r="AG85" s="87" t="b">
        <v>0</v>
      </c>
      <c r="AH85" s="87" t="b">
        <v>0</v>
      </c>
      <c r="AI85" s="87" t="b">
        <v>0</v>
      </c>
      <c r="AJ85" s="87" t="b">
        <v>0</v>
      </c>
      <c r="AK85" s="87" t="b">
        <v>0</v>
      </c>
      <c r="AL85" s="4" cm="1">
        <f t="array" ref="AL85">SUMPRODUCT(
--(G85:AK85=FALSE),
--(ISNA(MATCH(G$5:AK$5,'holiday list'!A:A,0)))
)</f>
        <v>26</v>
      </c>
      <c r="AM85" s="4">
        <f t="shared" si="4"/>
        <v>0</v>
      </c>
      <c r="AN85" s="89">
        <f t="shared" si="5"/>
        <v>0</v>
      </c>
    </row>
    <row r="86" spans="1:40" x14ac:dyDescent="0.35">
      <c r="A86" s="5">
        <v>81</v>
      </c>
      <c r="B86" s="17" t="s">
        <v>117</v>
      </c>
      <c r="C86" s="17" t="s">
        <v>6</v>
      </c>
      <c r="D86" s="97" t="s">
        <v>53</v>
      </c>
      <c r="E86" s="98" t="s">
        <v>43</v>
      </c>
      <c r="F86" s="99" t="s">
        <v>48</v>
      </c>
      <c r="G86" s="87" t="b">
        <v>0</v>
      </c>
      <c r="H86" s="87" t="b">
        <v>0</v>
      </c>
      <c r="I86" s="87" t="b">
        <v>0</v>
      </c>
      <c r="J86" s="87" t="b">
        <v>0</v>
      </c>
      <c r="K86" s="87" t="b">
        <v>0</v>
      </c>
      <c r="L86" s="87" t="b">
        <v>0</v>
      </c>
      <c r="M86" s="87" t="b">
        <v>0</v>
      </c>
      <c r="N86" s="87" t="b">
        <v>0</v>
      </c>
      <c r="O86" s="87" t="b">
        <v>0</v>
      </c>
      <c r="P86" s="87" t="b">
        <v>0</v>
      </c>
      <c r="Q86" s="87" t="b">
        <v>0</v>
      </c>
      <c r="R86" s="87" t="b">
        <v>0</v>
      </c>
      <c r="S86" s="87" t="b">
        <v>0</v>
      </c>
      <c r="T86" s="87" t="b">
        <v>0</v>
      </c>
      <c r="U86" s="87" t="b">
        <v>0</v>
      </c>
      <c r="V86" s="87" t="b">
        <v>0</v>
      </c>
      <c r="W86" s="87" t="b">
        <v>0</v>
      </c>
      <c r="X86" s="87" t="b">
        <v>0</v>
      </c>
      <c r="Y86" s="87" t="b">
        <v>0</v>
      </c>
      <c r="Z86" s="87" t="b">
        <v>0</v>
      </c>
      <c r="AA86" s="87" t="b">
        <v>0</v>
      </c>
      <c r="AB86" s="87" t="b">
        <v>0</v>
      </c>
      <c r="AC86" s="87" t="b">
        <v>0</v>
      </c>
      <c r="AD86" s="87" t="b">
        <v>0</v>
      </c>
      <c r="AE86" s="87" t="b">
        <v>0</v>
      </c>
      <c r="AF86" s="87" t="b">
        <v>0</v>
      </c>
      <c r="AG86" s="87" t="b">
        <v>0</v>
      </c>
      <c r="AH86" s="87" t="b">
        <v>0</v>
      </c>
      <c r="AI86" s="87" t="b">
        <v>0</v>
      </c>
      <c r="AJ86" s="87" t="b">
        <v>0</v>
      </c>
      <c r="AK86" s="87" t="b">
        <v>0</v>
      </c>
      <c r="AL86" s="4" cm="1">
        <f t="array" ref="AL86">SUMPRODUCT(
--(G86:AK86=FALSE),
--(ISNA(MATCH(G$5:AK$5,'holiday list'!A:A,0)))
)</f>
        <v>26</v>
      </c>
      <c r="AM86" s="4">
        <f t="shared" si="4"/>
        <v>0</v>
      </c>
      <c r="AN86" s="89">
        <f t="shared" si="5"/>
        <v>0</v>
      </c>
    </row>
    <row r="87" spans="1:40" x14ac:dyDescent="0.35">
      <c r="A87" s="5">
        <v>82</v>
      </c>
      <c r="B87" s="17" t="s">
        <v>24</v>
      </c>
      <c r="C87" s="17" t="s">
        <v>6</v>
      </c>
      <c r="D87" s="97" t="s">
        <v>53</v>
      </c>
      <c r="E87" s="98" t="s">
        <v>43</v>
      </c>
      <c r="F87" s="99" t="s">
        <v>48</v>
      </c>
      <c r="G87" s="87" t="b">
        <v>0</v>
      </c>
      <c r="H87" s="87" t="b">
        <v>0</v>
      </c>
      <c r="I87" s="87" t="b">
        <v>0</v>
      </c>
      <c r="J87" s="87" t="b">
        <v>0</v>
      </c>
      <c r="K87" s="87" t="b">
        <v>0</v>
      </c>
      <c r="L87" s="87" t="b">
        <v>0</v>
      </c>
      <c r="M87" s="87" t="b">
        <v>0</v>
      </c>
      <c r="N87" s="87" t="b">
        <v>0</v>
      </c>
      <c r="O87" s="87" t="b">
        <v>0</v>
      </c>
      <c r="P87" s="87" t="b">
        <v>0</v>
      </c>
      <c r="Q87" s="87" t="b">
        <v>0</v>
      </c>
      <c r="R87" s="87" t="b">
        <v>0</v>
      </c>
      <c r="S87" s="87" t="b">
        <v>0</v>
      </c>
      <c r="T87" s="87" t="b">
        <v>0</v>
      </c>
      <c r="U87" s="87" t="b">
        <v>0</v>
      </c>
      <c r="V87" s="87" t="b">
        <v>0</v>
      </c>
      <c r="W87" s="87" t="b">
        <v>0</v>
      </c>
      <c r="X87" s="87" t="b">
        <v>0</v>
      </c>
      <c r="Y87" s="87" t="b">
        <v>0</v>
      </c>
      <c r="Z87" s="87" t="b">
        <v>0</v>
      </c>
      <c r="AA87" s="87" t="b">
        <v>0</v>
      </c>
      <c r="AB87" s="87" t="b">
        <v>0</v>
      </c>
      <c r="AC87" s="87" t="b">
        <v>0</v>
      </c>
      <c r="AD87" s="87" t="b">
        <v>0</v>
      </c>
      <c r="AE87" s="87" t="b">
        <v>0</v>
      </c>
      <c r="AF87" s="87" t="b">
        <v>0</v>
      </c>
      <c r="AG87" s="87" t="b">
        <v>0</v>
      </c>
      <c r="AH87" s="87" t="b">
        <v>0</v>
      </c>
      <c r="AI87" s="87" t="b">
        <v>0</v>
      </c>
      <c r="AJ87" s="87" t="b">
        <v>0</v>
      </c>
      <c r="AK87" s="87" t="b">
        <v>0</v>
      </c>
      <c r="AL87" s="4" cm="1">
        <f t="array" ref="AL87">SUMPRODUCT(
--(G87:AK87=FALSE),
--(ISNA(MATCH(G$5:AK$5,'holiday list'!A:A,0)))
)</f>
        <v>26</v>
      </c>
      <c r="AM87" s="4">
        <f t="shared" si="4"/>
        <v>0</v>
      </c>
      <c r="AN87" s="89">
        <f t="shared" si="5"/>
        <v>0</v>
      </c>
    </row>
    <row r="88" spans="1:40" x14ac:dyDescent="0.35">
      <c r="A88" s="5">
        <v>83</v>
      </c>
      <c r="B88" s="17" t="s">
        <v>189</v>
      </c>
      <c r="C88" s="17" t="s">
        <v>190</v>
      </c>
      <c r="D88" s="97" t="s">
        <v>42</v>
      </c>
      <c r="E88" s="98" t="s">
        <v>43</v>
      </c>
      <c r="F88" s="99" t="s">
        <v>169</v>
      </c>
      <c r="G88" s="87" t="b">
        <v>0</v>
      </c>
      <c r="H88" s="87" t="b">
        <v>0</v>
      </c>
      <c r="I88" s="87" t="b">
        <v>0</v>
      </c>
      <c r="J88" s="87" t="b">
        <v>0</v>
      </c>
      <c r="K88" s="87" t="b">
        <v>0</v>
      </c>
      <c r="L88" s="87" t="b">
        <v>0</v>
      </c>
      <c r="M88" s="87" t="b">
        <v>0</v>
      </c>
      <c r="N88" s="87" t="b">
        <v>0</v>
      </c>
      <c r="O88" s="87" t="b">
        <v>0</v>
      </c>
      <c r="P88" s="87" t="b">
        <v>0</v>
      </c>
      <c r="Q88" s="87" t="b">
        <v>0</v>
      </c>
      <c r="R88" s="87" t="b">
        <v>0</v>
      </c>
      <c r="S88" s="87" t="b">
        <v>0</v>
      </c>
      <c r="T88" s="87" t="b">
        <v>0</v>
      </c>
      <c r="U88" s="87" t="b">
        <v>0</v>
      </c>
      <c r="V88" s="87" t="b">
        <v>0</v>
      </c>
      <c r="W88" s="87" t="b">
        <v>0</v>
      </c>
      <c r="X88" s="87" t="b">
        <v>0</v>
      </c>
      <c r="Y88" s="87" t="b">
        <v>0</v>
      </c>
      <c r="Z88" s="87" t="b">
        <v>0</v>
      </c>
      <c r="AA88" s="87" t="b">
        <v>0</v>
      </c>
      <c r="AB88" s="87" t="b">
        <v>0</v>
      </c>
      <c r="AC88" s="87" t="b">
        <v>0</v>
      </c>
      <c r="AD88" s="87" t="b">
        <v>0</v>
      </c>
      <c r="AE88" s="87" t="b">
        <v>0</v>
      </c>
      <c r="AF88" s="87" t="b">
        <v>0</v>
      </c>
      <c r="AG88" s="87" t="b">
        <v>0</v>
      </c>
      <c r="AH88" s="87" t="b">
        <v>0</v>
      </c>
      <c r="AI88" s="87" t="b">
        <v>0</v>
      </c>
      <c r="AJ88" s="87" t="b">
        <v>0</v>
      </c>
      <c r="AK88" s="87" t="b">
        <v>0</v>
      </c>
      <c r="AL88" s="4" cm="1">
        <f t="array" ref="AL88">SUMPRODUCT(
--(G88:AK88=FALSE),
--(ISNA(MATCH(G$5:AK$5,'holiday list'!A:A,0)))
)</f>
        <v>26</v>
      </c>
      <c r="AM88" s="4">
        <f t="shared" si="4"/>
        <v>0</v>
      </c>
      <c r="AN88" s="89">
        <f t="shared" si="5"/>
        <v>0</v>
      </c>
    </row>
    <row r="89" spans="1:40" x14ac:dyDescent="0.35">
      <c r="A89" s="5">
        <v>84</v>
      </c>
      <c r="B89" s="17" t="s">
        <v>19</v>
      </c>
      <c r="C89" s="17" t="s">
        <v>119</v>
      </c>
      <c r="D89" s="97" t="s">
        <v>53</v>
      </c>
      <c r="E89" s="98" t="s">
        <v>45</v>
      </c>
      <c r="F89" s="99" t="s">
        <v>48</v>
      </c>
      <c r="G89" s="87" t="b">
        <v>0</v>
      </c>
      <c r="H89" s="87" t="b">
        <v>0</v>
      </c>
      <c r="I89" s="87" t="b">
        <v>0</v>
      </c>
      <c r="J89" s="87" t="b">
        <v>0</v>
      </c>
      <c r="K89" s="87" t="b">
        <v>0</v>
      </c>
      <c r="L89" s="87" t="b">
        <v>0</v>
      </c>
      <c r="M89" s="87" t="b">
        <v>0</v>
      </c>
      <c r="N89" s="87" t="b">
        <v>0</v>
      </c>
      <c r="O89" s="87" t="b">
        <v>0</v>
      </c>
      <c r="P89" s="87" t="b">
        <v>0</v>
      </c>
      <c r="Q89" s="87" t="b">
        <v>0</v>
      </c>
      <c r="R89" s="87" t="b">
        <v>0</v>
      </c>
      <c r="S89" s="87" t="b">
        <v>0</v>
      </c>
      <c r="T89" s="87" t="b">
        <v>0</v>
      </c>
      <c r="U89" s="87" t="b">
        <v>0</v>
      </c>
      <c r="V89" s="87" t="b">
        <v>0</v>
      </c>
      <c r="W89" s="87" t="b">
        <v>0</v>
      </c>
      <c r="X89" s="87" t="b">
        <v>0</v>
      </c>
      <c r="Y89" s="87" t="b">
        <v>0</v>
      </c>
      <c r="Z89" s="87" t="b">
        <v>0</v>
      </c>
      <c r="AA89" s="87" t="b">
        <v>0</v>
      </c>
      <c r="AB89" s="87" t="b">
        <v>0</v>
      </c>
      <c r="AC89" s="87" t="b">
        <v>0</v>
      </c>
      <c r="AD89" s="87" t="b">
        <v>0</v>
      </c>
      <c r="AE89" s="87" t="b">
        <v>0</v>
      </c>
      <c r="AF89" s="87" t="b">
        <v>0</v>
      </c>
      <c r="AG89" s="87" t="b">
        <v>0</v>
      </c>
      <c r="AH89" s="87" t="b">
        <v>0</v>
      </c>
      <c r="AI89" s="87" t="b">
        <v>0</v>
      </c>
      <c r="AJ89" s="87" t="b">
        <v>0</v>
      </c>
      <c r="AK89" s="87" t="b">
        <v>0</v>
      </c>
      <c r="AL89" s="4" cm="1">
        <f t="array" ref="AL89">SUMPRODUCT(
--(G89:AK89=FALSE),
--(ISNA(MATCH(G$5:AK$5,'holiday list'!A:A,0)))
)</f>
        <v>26</v>
      </c>
      <c r="AM89" s="4">
        <f t="shared" si="4"/>
        <v>0</v>
      </c>
      <c r="AN89" s="89">
        <f t="shared" si="5"/>
        <v>0</v>
      </c>
    </row>
    <row r="90" spans="1:40" x14ac:dyDescent="0.35">
      <c r="A90" s="5">
        <v>85</v>
      </c>
      <c r="B90" s="17" t="s">
        <v>15</v>
      </c>
      <c r="C90" s="17" t="s">
        <v>119</v>
      </c>
      <c r="D90" s="97" t="s">
        <v>42</v>
      </c>
      <c r="E90" s="98" t="s">
        <v>45</v>
      </c>
      <c r="F90" s="99" t="s">
        <v>48</v>
      </c>
      <c r="G90" s="87" t="b">
        <v>0</v>
      </c>
      <c r="H90" s="87" t="b">
        <v>0</v>
      </c>
      <c r="I90" s="87" t="b">
        <v>0</v>
      </c>
      <c r="J90" s="87" t="b">
        <v>0</v>
      </c>
      <c r="K90" s="87" t="b">
        <v>0</v>
      </c>
      <c r="L90" s="87" t="b">
        <v>0</v>
      </c>
      <c r="M90" s="87" t="b">
        <v>0</v>
      </c>
      <c r="N90" s="87" t="b">
        <v>0</v>
      </c>
      <c r="O90" s="87" t="b">
        <v>0</v>
      </c>
      <c r="P90" s="87" t="b">
        <v>0</v>
      </c>
      <c r="Q90" s="87" t="b">
        <v>0</v>
      </c>
      <c r="R90" s="87" t="b">
        <v>0</v>
      </c>
      <c r="S90" s="87" t="b">
        <v>0</v>
      </c>
      <c r="T90" s="87" t="b">
        <v>0</v>
      </c>
      <c r="U90" s="87" t="b">
        <v>0</v>
      </c>
      <c r="V90" s="87" t="b">
        <v>0</v>
      </c>
      <c r="W90" s="87" t="b">
        <v>0</v>
      </c>
      <c r="X90" s="87" t="b">
        <v>0</v>
      </c>
      <c r="Y90" s="87" t="b">
        <v>0</v>
      </c>
      <c r="Z90" s="87" t="b">
        <v>0</v>
      </c>
      <c r="AA90" s="87" t="b">
        <v>0</v>
      </c>
      <c r="AB90" s="87" t="b">
        <v>0</v>
      </c>
      <c r="AC90" s="87" t="b">
        <v>0</v>
      </c>
      <c r="AD90" s="87" t="b">
        <v>0</v>
      </c>
      <c r="AE90" s="87" t="b">
        <v>0</v>
      </c>
      <c r="AF90" s="87" t="b">
        <v>0</v>
      </c>
      <c r="AG90" s="87" t="b">
        <v>0</v>
      </c>
      <c r="AH90" s="87" t="b">
        <v>0</v>
      </c>
      <c r="AI90" s="87" t="b">
        <v>0</v>
      </c>
      <c r="AJ90" s="87" t="b">
        <v>0</v>
      </c>
      <c r="AK90" s="87" t="b">
        <v>0</v>
      </c>
      <c r="AL90" s="4" cm="1">
        <f t="array" ref="AL90">SUMPRODUCT(
--(G90:AK90=FALSE),
--(ISNA(MATCH(G$5:AK$5,'holiday list'!A:A,0)))
)</f>
        <v>26</v>
      </c>
      <c r="AM90" s="4">
        <f t="shared" si="4"/>
        <v>0</v>
      </c>
      <c r="AN90" s="89">
        <f t="shared" si="5"/>
        <v>0</v>
      </c>
    </row>
    <row r="91" spans="1:40" x14ac:dyDescent="0.35">
      <c r="A91" s="5">
        <v>86</v>
      </c>
      <c r="B91" s="17" t="s">
        <v>31</v>
      </c>
      <c r="C91" s="17" t="s">
        <v>119</v>
      </c>
      <c r="D91" s="97" t="s">
        <v>53</v>
      </c>
      <c r="E91" s="98" t="s">
        <v>45</v>
      </c>
      <c r="F91" s="99" t="s">
        <v>48</v>
      </c>
      <c r="G91" s="87" t="b">
        <v>0</v>
      </c>
      <c r="H91" s="87" t="b">
        <v>0</v>
      </c>
      <c r="I91" s="87" t="b">
        <v>0</v>
      </c>
      <c r="J91" s="87" t="b">
        <v>0</v>
      </c>
      <c r="K91" s="87" t="b">
        <v>0</v>
      </c>
      <c r="L91" s="87" t="b">
        <v>0</v>
      </c>
      <c r="M91" s="87" t="b">
        <v>0</v>
      </c>
      <c r="N91" s="87" t="b">
        <v>0</v>
      </c>
      <c r="O91" s="87" t="b">
        <v>0</v>
      </c>
      <c r="P91" s="87" t="b">
        <v>0</v>
      </c>
      <c r="Q91" s="87" t="b">
        <v>0</v>
      </c>
      <c r="R91" s="87" t="b">
        <v>0</v>
      </c>
      <c r="S91" s="87" t="b">
        <v>0</v>
      </c>
      <c r="T91" s="87" t="b">
        <v>0</v>
      </c>
      <c r="U91" s="87" t="b">
        <v>0</v>
      </c>
      <c r="V91" s="87" t="b">
        <v>0</v>
      </c>
      <c r="W91" s="87" t="b">
        <v>0</v>
      </c>
      <c r="X91" s="87" t="b">
        <v>0</v>
      </c>
      <c r="Y91" s="87" t="b">
        <v>0</v>
      </c>
      <c r="Z91" s="87" t="b">
        <v>0</v>
      </c>
      <c r="AA91" s="87" t="b">
        <v>0</v>
      </c>
      <c r="AB91" s="87" t="b">
        <v>0</v>
      </c>
      <c r="AC91" s="87" t="b">
        <v>0</v>
      </c>
      <c r="AD91" s="87" t="b">
        <v>0</v>
      </c>
      <c r="AE91" s="87" t="b">
        <v>0</v>
      </c>
      <c r="AF91" s="87" t="b">
        <v>0</v>
      </c>
      <c r="AG91" s="87" t="b">
        <v>0</v>
      </c>
      <c r="AH91" s="87" t="b">
        <v>0</v>
      </c>
      <c r="AI91" s="87" t="b">
        <v>0</v>
      </c>
      <c r="AJ91" s="87" t="b">
        <v>0</v>
      </c>
      <c r="AK91" s="87" t="b">
        <v>0</v>
      </c>
      <c r="AL91" s="4" cm="1">
        <f t="array" ref="AL91">SUMPRODUCT(
--(G91:AK91=FALSE),
--(ISNA(MATCH(G$5:AK$5,'holiday list'!A:A,0)))
)</f>
        <v>26</v>
      </c>
      <c r="AM91" s="4">
        <f t="shared" si="4"/>
        <v>0</v>
      </c>
      <c r="AN91" s="89">
        <f t="shared" si="5"/>
        <v>0</v>
      </c>
    </row>
    <row r="92" spans="1:40" x14ac:dyDescent="0.35">
      <c r="A92" s="5">
        <v>87</v>
      </c>
      <c r="B92" s="17" t="s">
        <v>129</v>
      </c>
      <c r="C92" s="17" t="s">
        <v>119</v>
      </c>
      <c r="D92" s="97" t="s">
        <v>53</v>
      </c>
      <c r="E92" s="98" t="s">
        <v>45</v>
      </c>
      <c r="F92" s="99" t="s">
        <v>48</v>
      </c>
      <c r="G92" s="87" t="b">
        <v>0</v>
      </c>
      <c r="H92" s="87" t="b">
        <v>0</v>
      </c>
      <c r="I92" s="87" t="b">
        <v>0</v>
      </c>
      <c r="J92" s="87" t="b">
        <v>0</v>
      </c>
      <c r="K92" s="87" t="b">
        <v>0</v>
      </c>
      <c r="L92" s="87" t="b">
        <v>0</v>
      </c>
      <c r="M92" s="87" t="b">
        <v>0</v>
      </c>
      <c r="N92" s="87" t="b">
        <v>0</v>
      </c>
      <c r="O92" s="87" t="b">
        <v>0</v>
      </c>
      <c r="P92" s="87" t="b">
        <v>0</v>
      </c>
      <c r="Q92" s="87" t="b">
        <v>0</v>
      </c>
      <c r="R92" s="87" t="b">
        <v>0</v>
      </c>
      <c r="S92" s="87" t="b">
        <v>0</v>
      </c>
      <c r="T92" s="87" t="b">
        <v>0</v>
      </c>
      <c r="U92" s="87" t="b">
        <v>0</v>
      </c>
      <c r="V92" s="87" t="b">
        <v>0</v>
      </c>
      <c r="W92" s="87" t="b">
        <v>0</v>
      </c>
      <c r="X92" s="87" t="b">
        <v>0</v>
      </c>
      <c r="Y92" s="87" t="b">
        <v>0</v>
      </c>
      <c r="Z92" s="87" t="b">
        <v>0</v>
      </c>
      <c r="AA92" s="87" t="b">
        <v>0</v>
      </c>
      <c r="AB92" s="87" t="b">
        <v>0</v>
      </c>
      <c r="AC92" s="87" t="b">
        <v>0</v>
      </c>
      <c r="AD92" s="87" t="b">
        <v>0</v>
      </c>
      <c r="AE92" s="87" t="b">
        <v>0</v>
      </c>
      <c r="AF92" s="87" t="b">
        <v>0</v>
      </c>
      <c r="AG92" s="87" t="b">
        <v>0</v>
      </c>
      <c r="AH92" s="87" t="b">
        <v>0</v>
      </c>
      <c r="AI92" s="87" t="b">
        <v>0</v>
      </c>
      <c r="AJ92" s="87" t="b">
        <v>0</v>
      </c>
      <c r="AK92" s="87" t="b">
        <v>0</v>
      </c>
      <c r="AL92" s="4" cm="1">
        <f t="array" ref="AL92">SUMPRODUCT(
--(G92:AK92=FALSE),
--(ISNA(MATCH(G$5:AK$5,'holiday list'!A:A,0)))
)</f>
        <v>26</v>
      </c>
      <c r="AM92" s="4">
        <f t="shared" ref="AM92:AM122" si="6">COUNTIF(G92:AK92,TRUE)</f>
        <v>0</v>
      </c>
      <c r="AN92" s="89">
        <f t="shared" ref="AN92:AN122" si="7">AM92/28</f>
        <v>0</v>
      </c>
    </row>
    <row r="93" spans="1:40" x14ac:dyDescent="0.35">
      <c r="A93" s="5">
        <v>88</v>
      </c>
      <c r="B93" s="17" t="s">
        <v>28</v>
      </c>
      <c r="C93" s="17" t="s">
        <v>119</v>
      </c>
      <c r="D93" s="97" t="s">
        <v>42</v>
      </c>
      <c r="E93" s="98" t="s">
        <v>45</v>
      </c>
      <c r="F93" s="99" t="s">
        <v>48</v>
      </c>
      <c r="G93" s="87" t="b">
        <v>0</v>
      </c>
      <c r="H93" s="87" t="b">
        <v>0</v>
      </c>
      <c r="I93" s="87" t="b">
        <v>0</v>
      </c>
      <c r="J93" s="87" t="b">
        <v>0</v>
      </c>
      <c r="K93" s="87" t="b">
        <v>0</v>
      </c>
      <c r="L93" s="87" t="b">
        <v>0</v>
      </c>
      <c r="M93" s="87" t="b">
        <v>0</v>
      </c>
      <c r="N93" s="87" t="b">
        <v>0</v>
      </c>
      <c r="O93" s="87" t="b">
        <v>0</v>
      </c>
      <c r="P93" s="87" t="b">
        <v>0</v>
      </c>
      <c r="Q93" s="87" t="b">
        <v>0</v>
      </c>
      <c r="R93" s="87" t="b">
        <v>0</v>
      </c>
      <c r="S93" s="87" t="b">
        <v>0</v>
      </c>
      <c r="T93" s="87" t="b">
        <v>0</v>
      </c>
      <c r="U93" s="87" t="b">
        <v>0</v>
      </c>
      <c r="V93" s="87" t="b">
        <v>0</v>
      </c>
      <c r="W93" s="87" t="b">
        <v>0</v>
      </c>
      <c r="X93" s="87" t="b">
        <v>0</v>
      </c>
      <c r="Y93" s="87" t="b">
        <v>0</v>
      </c>
      <c r="Z93" s="87" t="b">
        <v>0</v>
      </c>
      <c r="AA93" s="87" t="b">
        <v>0</v>
      </c>
      <c r="AB93" s="87" t="b">
        <v>0</v>
      </c>
      <c r="AC93" s="87" t="b">
        <v>0</v>
      </c>
      <c r="AD93" s="87" t="b">
        <v>0</v>
      </c>
      <c r="AE93" s="87" t="b">
        <v>0</v>
      </c>
      <c r="AF93" s="87" t="b">
        <v>0</v>
      </c>
      <c r="AG93" s="87" t="b">
        <v>0</v>
      </c>
      <c r="AH93" s="87" t="b">
        <v>0</v>
      </c>
      <c r="AI93" s="87" t="b">
        <v>0</v>
      </c>
      <c r="AJ93" s="87" t="b">
        <v>0</v>
      </c>
      <c r="AK93" s="87" t="b">
        <v>0</v>
      </c>
      <c r="AL93" s="4" cm="1">
        <f t="array" ref="AL93">SUMPRODUCT(
--(G93:AK93=FALSE),
--(ISNA(MATCH(G$5:AK$5,'holiday list'!A:A,0)))
)</f>
        <v>26</v>
      </c>
      <c r="AM93" s="4">
        <f t="shared" si="6"/>
        <v>0</v>
      </c>
      <c r="AN93" s="89">
        <f t="shared" si="7"/>
        <v>0</v>
      </c>
    </row>
    <row r="94" spans="1:40" x14ac:dyDescent="0.35">
      <c r="A94" s="5">
        <v>89</v>
      </c>
      <c r="B94" s="17" t="s">
        <v>191</v>
      </c>
      <c r="C94" s="17" t="s">
        <v>119</v>
      </c>
      <c r="D94" s="97" t="s">
        <v>53</v>
      </c>
      <c r="E94" s="98" t="s">
        <v>45</v>
      </c>
      <c r="F94" s="99" t="s">
        <v>48</v>
      </c>
      <c r="G94" s="87" t="b">
        <v>0</v>
      </c>
      <c r="H94" s="87" t="b">
        <v>0</v>
      </c>
      <c r="I94" s="87" t="b">
        <v>0</v>
      </c>
      <c r="J94" s="87" t="b">
        <v>0</v>
      </c>
      <c r="K94" s="87" t="b">
        <v>0</v>
      </c>
      <c r="L94" s="87" t="b">
        <v>0</v>
      </c>
      <c r="M94" s="87" t="b">
        <v>0</v>
      </c>
      <c r="N94" s="87" t="b">
        <v>0</v>
      </c>
      <c r="O94" s="87" t="b">
        <v>0</v>
      </c>
      <c r="P94" s="87" t="b">
        <v>0</v>
      </c>
      <c r="Q94" s="87" t="b">
        <v>0</v>
      </c>
      <c r="R94" s="87" t="b">
        <v>0</v>
      </c>
      <c r="S94" s="87" t="b">
        <v>0</v>
      </c>
      <c r="T94" s="87" t="b">
        <v>0</v>
      </c>
      <c r="U94" s="87" t="b">
        <v>0</v>
      </c>
      <c r="V94" s="87" t="b">
        <v>0</v>
      </c>
      <c r="W94" s="87" t="b">
        <v>0</v>
      </c>
      <c r="X94" s="87" t="b">
        <v>0</v>
      </c>
      <c r="Y94" s="87" t="b">
        <v>0</v>
      </c>
      <c r="Z94" s="87" t="b">
        <v>0</v>
      </c>
      <c r="AA94" s="87" t="b">
        <v>0</v>
      </c>
      <c r="AB94" s="87" t="b">
        <v>0</v>
      </c>
      <c r="AC94" s="87" t="b">
        <v>0</v>
      </c>
      <c r="AD94" s="87" t="b">
        <v>0</v>
      </c>
      <c r="AE94" s="87" t="b">
        <v>0</v>
      </c>
      <c r="AF94" s="87" t="b">
        <v>0</v>
      </c>
      <c r="AG94" s="87" t="b">
        <v>0</v>
      </c>
      <c r="AH94" s="87" t="b">
        <v>0</v>
      </c>
      <c r="AI94" s="87" t="b">
        <v>0</v>
      </c>
      <c r="AJ94" s="87" t="b">
        <v>0</v>
      </c>
      <c r="AK94" s="87" t="b">
        <v>0</v>
      </c>
      <c r="AL94" s="4" cm="1">
        <f t="array" ref="AL94">SUMPRODUCT(
--(G94:AK94=FALSE),
--(ISNA(MATCH(G$5:AK$5,'holiday list'!A:A,0)))
)</f>
        <v>26</v>
      </c>
      <c r="AM94" s="4">
        <f t="shared" si="6"/>
        <v>0</v>
      </c>
      <c r="AN94" s="89">
        <f t="shared" si="7"/>
        <v>0</v>
      </c>
    </row>
    <row r="95" spans="1:40" x14ac:dyDescent="0.35">
      <c r="A95" s="5">
        <v>90</v>
      </c>
      <c r="B95" s="17" t="s">
        <v>25</v>
      </c>
      <c r="C95" s="17" t="s">
        <v>119</v>
      </c>
      <c r="D95" s="97" t="s">
        <v>53</v>
      </c>
      <c r="E95" s="98" t="s">
        <v>45</v>
      </c>
      <c r="F95" s="99" t="s">
        <v>48</v>
      </c>
      <c r="G95" s="87" t="b">
        <v>0</v>
      </c>
      <c r="H95" s="87" t="b">
        <v>0</v>
      </c>
      <c r="I95" s="87" t="b">
        <v>0</v>
      </c>
      <c r="J95" s="87" t="b">
        <v>0</v>
      </c>
      <c r="K95" s="87" t="b">
        <v>0</v>
      </c>
      <c r="L95" s="87" t="b">
        <v>0</v>
      </c>
      <c r="M95" s="87" t="b">
        <v>0</v>
      </c>
      <c r="N95" s="87" t="b">
        <v>0</v>
      </c>
      <c r="O95" s="87" t="b">
        <v>0</v>
      </c>
      <c r="P95" s="87" t="b">
        <v>0</v>
      </c>
      <c r="Q95" s="87" t="b">
        <v>0</v>
      </c>
      <c r="R95" s="87" t="b">
        <v>0</v>
      </c>
      <c r="S95" s="87" t="b">
        <v>0</v>
      </c>
      <c r="T95" s="87" t="b">
        <v>0</v>
      </c>
      <c r="U95" s="87" t="b">
        <v>0</v>
      </c>
      <c r="V95" s="87" t="b">
        <v>0</v>
      </c>
      <c r="W95" s="87" t="b">
        <v>0</v>
      </c>
      <c r="X95" s="87" t="b">
        <v>0</v>
      </c>
      <c r="Y95" s="87" t="b">
        <v>0</v>
      </c>
      <c r="Z95" s="87" t="b">
        <v>0</v>
      </c>
      <c r="AA95" s="87" t="b">
        <v>0</v>
      </c>
      <c r="AB95" s="87" t="b">
        <v>0</v>
      </c>
      <c r="AC95" s="87" t="b">
        <v>0</v>
      </c>
      <c r="AD95" s="87" t="b">
        <v>0</v>
      </c>
      <c r="AE95" s="87" t="b">
        <v>0</v>
      </c>
      <c r="AF95" s="87" t="b">
        <v>0</v>
      </c>
      <c r="AG95" s="87" t="b">
        <v>0</v>
      </c>
      <c r="AH95" s="87" t="b">
        <v>0</v>
      </c>
      <c r="AI95" s="87" t="b">
        <v>0</v>
      </c>
      <c r="AJ95" s="87" t="b">
        <v>0</v>
      </c>
      <c r="AK95" s="87" t="b">
        <v>0</v>
      </c>
      <c r="AL95" s="4" cm="1">
        <f t="array" ref="AL95">SUMPRODUCT(
--(G95:AK95=FALSE),
--(ISNA(MATCH(G$5:AK$5,'holiday list'!A:A,0)))
)</f>
        <v>26</v>
      </c>
      <c r="AM95" s="4">
        <f t="shared" si="6"/>
        <v>0</v>
      </c>
      <c r="AN95" s="89">
        <f t="shared" si="7"/>
        <v>0</v>
      </c>
    </row>
    <row r="96" spans="1:40" x14ac:dyDescent="0.35">
      <c r="A96" s="5">
        <v>91</v>
      </c>
      <c r="B96" s="17" t="s">
        <v>21</v>
      </c>
      <c r="C96" s="17" t="s">
        <v>120</v>
      </c>
      <c r="D96" s="97" t="s">
        <v>42</v>
      </c>
      <c r="E96" s="98" t="s">
        <v>45</v>
      </c>
      <c r="F96" s="99" t="s">
        <v>48</v>
      </c>
      <c r="G96" s="87" t="b">
        <v>0</v>
      </c>
      <c r="H96" s="87" t="b">
        <v>0</v>
      </c>
      <c r="I96" s="87" t="b">
        <v>0</v>
      </c>
      <c r="J96" s="87" t="b">
        <v>0</v>
      </c>
      <c r="K96" s="87" t="b">
        <v>0</v>
      </c>
      <c r="L96" s="87" t="b">
        <v>0</v>
      </c>
      <c r="M96" s="87" t="b">
        <v>0</v>
      </c>
      <c r="N96" s="87" t="b">
        <v>0</v>
      </c>
      <c r="O96" s="87" t="b">
        <v>0</v>
      </c>
      <c r="P96" s="87" t="b">
        <v>0</v>
      </c>
      <c r="Q96" s="87" t="b">
        <v>0</v>
      </c>
      <c r="R96" s="87" t="b">
        <v>0</v>
      </c>
      <c r="S96" s="87" t="b">
        <v>0</v>
      </c>
      <c r="T96" s="87" t="b">
        <v>0</v>
      </c>
      <c r="U96" s="87" t="b">
        <v>0</v>
      </c>
      <c r="V96" s="87" t="b">
        <v>0</v>
      </c>
      <c r="W96" s="87" t="b">
        <v>0</v>
      </c>
      <c r="X96" s="87" t="b">
        <v>0</v>
      </c>
      <c r="Y96" s="87" t="b">
        <v>0</v>
      </c>
      <c r="Z96" s="87" t="b">
        <v>0</v>
      </c>
      <c r="AA96" s="87" t="b">
        <v>0</v>
      </c>
      <c r="AB96" s="87" t="b">
        <v>0</v>
      </c>
      <c r="AC96" s="87" t="b">
        <v>0</v>
      </c>
      <c r="AD96" s="87" t="b">
        <v>0</v>
      </c>
      <c r="AE96" s="87" t="b">
        <v>0</v>
      </c>
      <c r="AF96" s="87" t="b">
        <v>0</v>
      </c>
      <c r="AG96" s="87" t="b">
        <v>0</v>
      </c>
      <c r="AH96" s="87" t="b">
        <v>0</v>
      </c>
      <c r="AI96" s="87" t="b">
        <v>0</v>
      </c>
      <c r="AJ96" s="87" t="b">
        <v>0</v>
      </c>
      <c r="AK96" s="87" t="b">
        <v>0</v>
      </c>
      <c r="AL96" s="4" cm="1">
        <f t="array" ref="AL96">SUMPRODUCT(
--(G96:AK96=FALSE),
--(ISNA(MATCH(G$5:AK$5,'holiday list'!A:A,0)))
)</f>
        <v>26</v>
      </c>
      <c r="AM96" s="4">
        <f t="shared" si="6"/>
        <v>0</v>
      </c>
      <c r="AN96" s="89">
        <f t="shared" si="7"/>
        <v>0</v>
      </c>
    </row>
    <row r="97" spans="1:40" x14ac:dyDescent="0.35">
      <c r="A97" s="5">
        <v>92</v>
      </c>
      <c r="B97" s="18" t="s">
        <v>121</v>
      </c>
      <c r="C97" s="17" t="s">
        <v>120</v>
      </c>
      <c r="D97" s="97" t="s">
        <v>42</v>
      </c>
      <c r="E97" s="98" t="s">
        <v>45</v>
      </c>
      <c r="F97" s="99" t="s">
        <v>48</v>
      </c>
      <c r="G97" s="87" t="b">
        <v>0</v>
      </c>
      <c r="H97" s="87" t="b">
        <v>0</v>
      </c>
      <c r="I97" s="87" t="b">
        <v>0</v>
      </c>
      <c r="J97" s="87" t="b">
        <v>0</v>
      </c>
      <c r="K97" s="87" t="b">
        <v>0</v>
      </c>
      <c r="L97" s="87" t="b">
        <v>0</v>
      </c>
      <c r="M97" s="87" t="b">
        <v>0</v>
      </c>
      <c r="N97" s="87" t="b">
        <v>0</v>
      </c>
      <c r="O97" s="87" t="b">
        <v>0</v>
      </c>
      <c r="P97" s="87" t="b">
        <v>0</v>
      </c>
      <c r="Q97" s="87" t="b">
        <v>0</v>
      </c>
      <c r="R97" s="87" t="b">
        <v>0</v>
      </c>
      <c r="S97" s="87" t="b">
        <v>0</v>
      </c>
      <c r="T97" s="87" t="b">
        <v>0</v>
      </c>
      <c r="U97" s="87" t="b">
        <v>0</v>
      </c>
      <c r="V97" s="87" t="b">
        <v>0</v>
      </c>
      <c r="W97" s="87" t="b">
        <v>0</v>
      </c>
      <c r="X97" s="87" t="b">
        <v>0</v>
      </c>
      <c r="Y97" s="87" t="b">
        <v>0</v>
      </c>
      <c r="Z97" s="87" t="b">
        <v>0</v>
      </c>
      <c r="AA97" s="87" t="b">
        <v>0</v>
      </c>
      <c r="AB97" s="87" t="b">
        <v>0</v>
      </c>
      <c r="AC97" s="87" t="b">
        <v>0</v>
      </c>
      <c r="AD97" s="87" t="b">
        <v>0</v>
      </c>
      <c r="AE97" s="87" t="b">
        <v>0</v>
      </c>
      <c r="AF97" s="87" t="b">
        <v>0</v>
      </c>
      <c r="AG97" s="87" t="b">
        <v>0</v>
      </c>
      <c r="AH97" s="87" t="b">
        <v>0</v>
      </c>
      <c r="AI97" s="87" t="b">
        <v>0</v>
      </c>
      <c r="AJ97" s="87" t="b">
        <v>0</v>
      </c>
      <c r="AK97" s="87" t="b">
        <v>0</v>
      </c>
      <c r="AL97" s="4" cm="1">
        <f t="array" ref="AL97">SUMPRODUCT(
--(G97:AK97=FALSE),
--(ISNA(MATCH(G$5:AK$5,'holiday list'!A:A,0)))
)</f>
        <v>26</v>
      </c>
      <c r="AM97" s="4">
        <f t="shared" si="6"/>
        <v>0</v>
      </c>
      <c r="AN97" s="89">
        <f t="shared" si="7"/>
        <v>0</v>
      </c>
    </row>
    <row r="98" spans="1:40" x14ac:dyDescent="0.35">
      <c r="A98" s="5">
        <v>93</v>
      </c>
      <c r="B98" s="17" t="s">
        <v>122</v>
      </c>
      <c r="C98" s="17" t="s">
        <v>120</v>
      </c>
      <c r="D98" s="97" t="s">
        <v>70</v>
      </c>
      <c r="E98" s="98" t="s">
        <v>45</v>
      </c>
      <c r="F98" s="104" t="s">
        <v>48</v>
      </c>
      <c r="G98" s="87" t="b">
        <v>0</v>
      </c>
      <c r="H98" s="87" t="b">
        <v>0</v>
      </c>
      <c r="I98" s="87" t="b">
        <v>0</v>
      </c>
      <c r="J98" s="87" t="b">
        <v>0</v>
      </c>
      <c r="K98" s="87" t="b">
        <v>0</v>
      </c>
      <c r="L98" s="87" t="b">
        <v>0</v>
      </c>
      <c r="M98" s="87" t="b">
        <v>0</v>
      </c>
      <c r="N98" s="87" t="b">
        <v>0</v>
      </c>
      <c r="O98" s="87" t="b">
        <v>0</v>
      </c>
      <c r="P98" s="87" t="b">
        <v>0</v>
      </c>
      <c r="Q98" s="87" t="b">
        <v>0</v>
      </c>
      <c r="R98" s="87" t="b">
        <v>0</v>
      </c>
      <c r="S98" s="87" t="b">
        <v>0</v>
      </c>
      <c r="T98" s="87" t="b">
        <v>0</v>
      </c>
      <c r="U98" s="87" t="b">
        <v>0</v>
      </c>
      <c r="V98" s="87" t="b">
        <v>0</v>
      </c>
      <c r="W98" s="87" t="b">
        <v>0</v>
      </c>
      <c r="X98" s="87" t="b">
        <v>0</v>
      </c>
      <c r="Y98" s="87" t="b">
        <v>0</v>
      </c>
      <c r="Z98" s="87" t="b">
        <v>0</v>
      </c>
      <c r="AA98" s="87" t="b">
        <v>0</v>
      </c>
      <c r="AB98" s="87" t="b">
        <v>0</v>
      </c>
      <c r="AC98" s="87" t="b">
        <v>0</v>
      </c>
      <c r="AD98" s="87" t="b">
        <v>0</v>
      </c>
      <c r="AE98" s="87" t="b">
        <v>0</v>
      </c>
      <c r="AF98" s="87" t="b">
        <v>0</v>
      </c>
      <c r="AG98" s="87" t="b">
        <v>0</v>
      </c>
      <c r="AH98" s="87" t="b">
        <v>0</v>
      </c>
      <c r="AI98" s="87" t="b">
        <v>0</v>
      </c>
      <c r="AJ98" s="87" t="b">
        <v>0</v>
      </c>
      <c r="AK98" s="87" t="b">
        <v>0</v>
      </c>
      <c r="AL98" s="4" cm="1">
        <f t="array" ref="AL98">SUMPRODUCT(
--(G98:AK98=FALSE),
--(ISNA(MATCH(G$5:AK$5,'holiday list'!A:A,0)))
)</f>
        <v>26</v>
      </c>
      <c r="AM98" s="4">
        <f t="shared" si="6"/>
        <v>0</v>
      </c>
      <c r="AN98" s="89">
        <f t="shared" si="7"/>
        <v>0</v>
      </c>
    </row>
    <row r="99" spans="1:40" x14ac:dyDescent="0.35">
      <c r="A99" s="5">
        <v>94</v>
      </c>
      <c r="B99" s="17" t="s">
        <v>11</v>
      </c>
      <c r="C99" s="17" t="s">
        <v>120</v>
      </c>
      <c r="D99" s="97" t="s">
        <v>53</v>
      </c>
      <c r="E99" s="97" t="s">
        <v>45</v>
      </c>
      <c r="F99" s="104" t="s">
        <v>48</v>
      </c>
      <c r="G99" s="87" t="b">
        <v>0</v>
      </c>
      <c r="H99" s="87" t="b">
        <v>0</v>
      </c>
      <c r="I99" s="87" t="b">
        <v>0</v>
      </c>
      <c r="J99" s="87" t="b">
        <v>0</v>
      </c>
      <c r="K99" s="87" t="b">
        <v>0</v>
      </c>
      <c r="L99" s="87" t="b">
        <v>0</v>
      </c>
      <c r="M99" s="87" t="b">
        <v>0</v>
      </c>
      <c r="N99" s="87" t="b">
        <v>0</v>
      </c>
      <c r="O99" s="87" t="b">
        <v>0</v>
      </c>
      <c r="P99" s="87" t="b">
        <v>0</v>
      </c>
      <c r="Q99" s="87" t="b">
        <v>0</v>
      </c>
      <c r="R99" s="87" t="b">
        <v>0</v>
      </c>
      <c r="S99" s="87" t="b">
        <v>0</v>
      </c>
      <c r="T99" s="87" t="b">
        <v>0</v>
      </c>
      <c r="U99" s="87" t="b">
        <v>0</v>
      </c>
      <c r="V99" s="87" t="b">
        <v>0</v>
      </c>
      <c r="W99" s="87" t="b">
        <v>0</v>
      </c>
      <c r="X99" s="87" t="b">
        <v>0</v>
      </c>
      <c r="Y99" s="87" t="b">
        <v>0</v>
      </c>
      <c r="Z99" s="87" t="b">
        <v>0</v>
      </c>
      <c r="AA99" s="87" t="b">
        <v>0</v>
      </c>
      <c r="AB99" s="87" t="b">
        <v>0</v>
      </c>
      <c r="AC99" s="87" t="b">
        <v>0</v>
      </c>
      <c r="AD99" s="87" t="b">
        <v>0</v>
      </c>
      <c r="AE99" s="87" t="b">
        <v>0</v>
      </c>
      <c r="AF99" s="87" t="b">
        <v>0</v>
      </c>
      <c r="AG99" s="87" t="b">
        <v>0</v>
      </c>
      <c r="AH99" s="87" t="b">
        <v>0</v>
      </c>
      <c r="AI99" s="87" t="b">
        <v>0</v>
      </c>
      <c r="AJ99" s="87" t="b">
        <v>0</v>
      </c>
      <c r="AK99" s="87" t="b">
        <v>0</v>
      </c>
      <c r="AL99" s="4" cm="1">
        <f t="array" ref="AL99">SUMPRODUCT(
--(G99:AK99=FALSE),
--(ISNA(MATCH(G$5:AK$5,'holiday list'!A:A,0)))
)</f>
        <v>26</v>
      </c>
      <c r="AM99" s="4">
        <f t="shared" si="6"/>
        <v>0</v>
      </c>
      <c r="AN99" s="89">
        <f t="shared" si="7"/>
        <v>0</v>
      </c>
    </row>
    <row r="100" spans="1:40" x14ac:dyDescent="0.35">
      <c r="A100" s="5">
        <v>95</v>
      </c>
      <c r="B100" s="17" t="s">
        <v>23</v>
      </c>
      <c r="C100" s="17" t="s">
        <v>7</v>
      </c>
      <c r="D100" s="97" t="s">
        <v>42</v>
      </c>
      <c r="E100" s="98" t="s">
        <v>45</v>
      </c>
      <c r="F100" s="99" t="s">
        <v>48</v>
      </c>
      <c r="G100" s="87" t="b">
        <v>0</v>
      </c>
      <c r="H100" s="87" t="b">
        <v>0</v>
      </c>
      <c r="I100" s="87" t="b">
        <v>0</v>
      </c>
      <c r="J100" s="87" t="b">
        <v>0</v>
      </c>
      <c r="K100" s="87" t="b">
        <v>0</v>
      </c>
      <c r="L100" s="87" t="b">
        <v>0</v>
      </c>
      <c r="M100" s="87" t="b">
        <v>0</v>
      </c>
      <c r="N100" s="87" t="b">
        <v>0</v>
      </c>
      <c r="O100" s="87" t="b">
        <v>0</v>
      </c>
      <c r="P100" s="87" t="b">
        <v>0</v>
      </c>
      <c r="Q100" s="87" t="b">
        <v>0</v>
      </c>
      <c r="R100" s="87" t="b">
        <v>0</v>
      </c>
      <c r="S100" s="87" t="b">
        <v>0</v>
      </c>
      <c r="T100" s="87" t="b">
        <v>0</v>
      </c>
      <c r="U100" s="87" t="b">
        <v>0</v>
      </c>
      <c r="V100" s="87" t="b">
        <v>0</v>
      </c>
      <c r="W100" s="87" t="b">
        <v>0</v>
      </c>
      <c r="X100" s="87" t="b">
        <v>0</v>
      </c>
      <c r="Y100" s="87" t="b">
        <v>0</v>
      </c>
      <c r="Z100" s="87" t="b">
        <v>0</v>
      </c>
      <c r="AA100" s="87" t="b">
        <v>0</v>
      </c>
      <c r="AB100" s="87" t="b">
        <v>0</v>
      </c>
      <c r="AC100" s="87" t="b">
        <v>0</v>
      </c>
      <c r="AD100" s="87" t="b">
        <v>0</v>
      </c>
      <c r="AE100" s="87" t="b">
        <v>0</v>
      </c>
      <c r="AF100" s="87" t="b">
        <v>0</v>
      </c>
      <c r="AG100" s="87" t="b">
        <v>0</v>
      </c>
      <c r="AH100" s="87" t="b">
        <v>0</v>
      </c>
      <c r="AI100" s="87" t="b">
        <v>0</v>
      </c>
      <c r="AJ100" s="87" t="b">
        <v>0</v>
      </c>
      <c r="AK100" s="87" t="b">
        <v>0</v>
      </c>
      <c r="AL100" s="4" cm="1">
        <f t="array" ref="AL100">SUMPRODUCT(
--(G100:AK100=FALSE),
--(ISNA(MATCH(G$5:AK$5,'holiday list'!A:A,0)))
)</f>
        <v>26</v>
      </c>
      <c r="AM100" s="4">
        <f t="shared" si="6"/>
        <v>0</v>
      </c>
      <c r="AN100" s="89">
        <f t="shared" si="7"/>
        <v>0</v>
      </c>
    </row>
    <row r="101" spans="1:40" ht="15" thickBot="1" x14ac:dyDescent="0.4">
      <c r="A101" s="5">
        <v>96</v>
      </c>
      <c r="B101" s="18" t="s">
        <v>123</v>
      </c>
      <c r="C101" s="21" t="s">
        <v>7</v>
      </c>
      <c r="D101" s="100" t="s">
        <v>53</v>
      </c>
      <c r="E101" s="98" t="s">
        <v>43</v>
      </c>
      <c r="F101" s="99" t="s">
        <v>48</v>
      </c>
      <c r="G101" s="87" t="b">
        <v>0</v>
      </c>
      <c r="H101" s="87" t="b">
        <v>0</v>
      </c>
      <c r="I101" s="87" t="b">
        <v>0</v>
      </c>
      <c r="J101" s="87" t="b">
        <v>0</v>
      </c>
      <c r="K101" s="87" t="b">
        <v>0</v>
      </c>
      <c r="L101" s="87" t="b">
        <v>0</v>
      </c>
      <c r="M101" s="87" t="b">
        <v>0</v>
      </c>
      <c r="N101" s="87" t="b">
        <v>0</v>
      </c>
      <c r="O101" s="87" t="b">
        <v>0</v>
      </c>
      <c r="P101" s="87" t="b">
        <v>0</v>
      </c>
      <c r="Q101" s="87" t="b">
        <v>0</v>
      </c>
      <c r="R101" s="87" t="b">
        <v>0</v>
      </c>
      <c r="S101" s="87" t="b">
        <v>0</v>
      </c>
      <c r="T101" s="87" t="b">
        <v>0</v>
      </c>
      <c r="U101" s="87" t="b">
        <v>0</v>
      </c>
      <c r="V101" s="87" t="b">
        <v>0</v>
      </c>
      <c r="W101" s="87" t="b">
        <v>0</v>
      </c>
      <c r="X101" s="87" t="b">
        <v>0</v>
      </c>
      <c r="Y101" s="87" t="b">
        <v>0</v>
      </c>
      <c r="Z101" s="87" t="b">
        <v>0</v>
      </c>
      <c r="AA101" s="87" t="b">
        <v>0</v>
      </c>
      <c r="AB101" s="87" t="b">
        <v>0</v>
      </c>
      <c r="AC101" s="87" t="b">
        <v>0</v>
      </c>
      <c r="AD101" s="87" t="b">
        <v>0</v>
      </c>
      <c r="AE101" s="87" t="b">
        <v>0</v>
      </c>
      <c r="AF101" s="87" t="b">
        <v>0</v>
      </c>
      <c r="AG101" s="87" t="b">
        <v>0</v>
      </c>
      <c r="AH101" s="87" t="b">
        <v>0</v>
      </c>
      <c r="AI101" s="87" t="b">
        <v>0</v>
      </c>
      <c r="AJ101" s="87" t="b">
        <v>0</v>
      </c>
      <c r="AK101" s="87" t="b">
        <v>0</v>
      </c>
      <c r="AL101" s="4" cm="1">
        <f t="array" ref="AL101">SUMPRODUCT(
--(G101:AK101=FALSE),
--(ISNA(MATCH(G$5:AK$5,'holiday list'!A:A,0)))
)</f>
        <v>26</v>
      </c>
      <c r="AM101" s="4">
        <f t="shared" si="6"/>
        <v>0</v>
      </c>
      <c r="AN101" s="89">
        <f t="shared" si="7"/>
        <v>0</v>
      </c>
    </row>
    <row r="102" spans="1:40" x14ac:dyDescent="0.35">
      <c r="A102" s="5">
        <v>97</v>
      </c>
      <c r="B102" s="17" t="s">
        <v>192</v>
      </c>
      <c r="C102" s="17" t="s">
        <v>83</v>
      </c>
      <c r="D102" s="97" t="s">
        <v>42</v>
      </c>
      <c r="E102" s="98" t="s">
        <v>43</v>
      </c>
      <c r="F102" s="99" t="s">
        <v>169</v>
      </c>
      <c r="G102" s="87" t="b">
        <v>0</v>
      </c>
      <c r="H102" s="87" t="b">
        <v>0</v>
      </c>
      <c r="I102" s="87" t="b">
        <v>0</v>
      </c>
      <c r="J102" s="87" t="b">
        <v>0</v>
      </c>
      <c r="K102" s="87" t="b">
        <v>0</v>
      </c>
      <c r="L102" s="87" t="b">
        <v>0</v>
      </c>
      <c r="M102" s="87" t="b">
        <v>0</v>
      </c>
      <c r="N102" s="87" t="b">
        <v>0</v>
      </c>
      <c r="O102" s="87" t="b">
        <v>0</v>
      </c>
      <c r="P102" s="87" t="b">
        <v>0</v>
      </c>
      <c r="Q102" s="87" t="b">
        <v>0</v>
      </c>
      <c r="R102" s="87" t="b">
        <v>0</v>
      </c>
      <c r="S102" s="87" t="b">
        <v>0</v>
      </c>
      <c r="T102" s="87" t="b">
        <v>0</v>
      </c>
      <c r="U102" s="87" t="b">
        <v>0</v>
      </c>
      <c r="V102" s="87" t="b">
        <v>0</v>
      </c>
      <c r="W102" s="87" t="b">
        <v>0</v>
      </c>
      <c r="X102" s="87" t="b">
        <v>0</v>
      </c>
      <c r="Y102" s="87" t="b">
        <v>0</v>
      </c>
      <c r="Z102" s="87" t="b">
        <v>0</v>
      </c>
      <c r="AA102" s="87" t="b">
        <v>0</v>
      </c>
      <c r="AB102" s="87" t="b">
        <v>0</v>
      </c>
      <c r="AC102" s="87" t="b">
        <v>0</v>
      </c>
      <c r="AD102" s="87" t="b">
        <v>0</v>
      </c>
      <c r="AE102" s="87" t="b">
        <v>0</v>
      </c>
      <c r="AF102" s="87" t="b">
        <v>0</v>
      </c>
      <c r="AG102" s="87" t="b">
        <v>0</v>
      </c>
      <c r="AH102" s="87" t="b">
        <v>0</v>
      </c>
      <c r="AI102" s="87" t="b">
        <v>0</v>
      </c>
      <c r="AJ102" s="87" t="b">
        <v>0</v>
      </c>
      <c r="AK102" s="87" t="b">
        <v>0</v>
      </c>
      <c r="AL102" s="4" cm="1">
        <f t="array" ref="AL102">SUMPRODUCT(
--(G102:AK102=FALSE),
--(ISNA(MATCH(G$5:AK$5,'holiday list'!A:A,0)))
)</f>
        <v>26</v>
      </c>
      <c r="AM102" s="4">
        <f t="shared" si="6"/>
        <v>0</v>
      </c>
      <c r="AN102" s="89">
        <f t="shared" si="7"/>
        <v>0</v>
      </c>
    </row>
    <row r="103" spans="1:40" x14ac:dyDescent="0.35">
      <c r="A103" s="5">
        <v>98</v>
      </c>
      <c r="B103" s="17" t="s">
        <v>193</v>
      </c>
      <c r="C103" s="17" t="s">
        <v>83</v>
      </c>
      <c r="D103" s="97" t="s">
        <v>42</v>
      </c>
      <c r="E103" s="98" t="s">
        <v>43</v>
      </c>
      <c r="F103" s="99" t="s">
        <v>169</v>
      </c>
      <c r="G103" s="87" t="b">
        <v>0</v>
      </c>
      <c r="H103" s="87" t="b">
        <v>0</v>
      </c>
      <c r="I103" s="87" t="b">
        <v>0</v>
      </c>
      <c r="J103" s="87" t="b">
        <v>0</v>
      </c>
      <c r="K103" s="87" t="b">
        <v>0</v>
      </c>
      <c r="L103" s="87" t="b">
        <v>0</v>
      </c>
      <c r="M103" s="87" t="b">
        <v>0</v>
      </c>
      <c r="N103" s="87" t="b">
        <v>0</v>
      </c>
      <c r="O103" s="87" t="b">
        <v>0</v>
      </c>
      <c r="P103" s="87" t="b">
        <v>0</v>
      </c>
      <c r="Q103" s="87" t="b">
        <v>0</v>
      </c>
      <c r="R103" s="87" t="b">
        <v>0</v>
      </c>
      <c r="S103" s="87" t="b">
        <v>0</v>
      </c>
      <c r="T103" s="87" t="b">
        <v>0</v>
      </c>
      <c r="U103" s="87" t="b">
        <v>0</v>
      </c>
      <c r="V103" s="87" t="b">
        <v>0</v>
      </c>
      <c r="W103" s="87" t="b">
        <v>0</v>
      </c>
      <c r="X103" s="87" t="b">
        <v>0</v>
      </c>
      <c r="Y103" s="87" t="b">
        <v>0</v>
      </c>
      <c r="Z103" s="87" t="b">
        <v>0</v>
      </c>
      <c r="AA103" s="87" t="b">
        <v>0</v>
      </c>
      <c r="AB103" s="87" t="b">
        <v>0</v>
      </c>
      <c r="AC103" s="87" t="b">
        <v>0</v>
      </c>
      <c r="AD103" s="87" t="b">
        <v>0</v>
      </c>
      <c r="AE103" s="87" t="b">
        <v>0</v>
      </c>
      <c r="AF103" s="87" t="b">
        <v>0</v>
      </c>
      <c r="AG103" s="87" t="b">
        <v>0</v>
      </c>
      <c r="AH103" s="87" t="b">
        <v>0</v>
      </c>
      <c r="AI103" s="87" t="b">
        <v>0</v>
      </c>
      <c r="AJ103" s="87" t="b">
        <v>0</v>
      </c>
      <c r="AK103" s="87" t="b">
        <v>0</v>
      </c>
      <c r="AL103" s="4" cm="1">
        <f t="array" ref="AL103">SUMPRODUCT(
--(G103:AK103=FALSE),
--(ISNA(MATCH(G$5:AK$5,'holiday list'!A:A,0)))
)</f>
        <v>26</v>
      </c>
      <c r="AM103" s="4">
        <f t="shared" si="6"/>
        <v>0</v>
      </c>
      <c r="AN103" s="89">
        <f t="shared" si="7"/>
        <v>0</v>
      </c>
    </row>
    <row r="104" spans="1:40" x14ac:dyDescent="0.35">
      <c r="A104" s="5">
        <v>99</v>
      </c>
      <c r="B104" s="17" t="s">
        <v>114</v>
      </c>
      <c r="C104" s="17" t="s">
        <v>83</v>
      </c>
      <c r="D104" s="97" t="s">
        <v>124</v>
      </c>
      <c r="E104" s="98" t="s">
        <v>45</v>
      </c>
      <c r="F104" s="99" t="s">
        <v>169</v>
      </c>
      <c r="G104" s="87" t="b">
        <v>0</v>
      </c>
      <c r="H104" s="87" t="b">
        <v>0</v>
      </c>
      <c r="I104" s="87" t="b">
        <v>0</v>
      </c>
      <c r="J104" s="87" t="b">
        <v>0</v>
      </c>
      <c r="K104" s="87" t="b">
        <v>0</v>
      </c>
      <c r="L104" s="87" t="b">
        <v>0</v>
      </c>
      <c r="M104" s="87" t="b">
        <v>0</v>
      </c>
      <c r="N104" s="87" t="b">
        <v>0</v>
      </c>
      <c r="O104" s="87" t="b">
        <v>0</v>
      </c>
      <c r="P104" s="87" t="b">
        <v>0</v>
      </c>
      <c r="Q104" s="87" t="b">
        <v>0</v>
      </c>
      <c r="R104" s="87" t="b">
        <v>0</v>
      </c>
      <c r="S104" s="87" t="b">
        <v>0</v>
      </c>
      <c r="T104" s="87" t="b">
        <v>0</v>
      </c>
      <c r="U104" s="87" t="b">
        <v>0</v>
      </c>
      <c r="V104" s="87" t="b">
        <v>0</v>
      </c>
      <c r="W104" s="87" t="b">
        <v>0</v>
      </c>
      <c r="X104" s="87" t="b">
        <v>0</v>
      </c>
      <c r="Y104" s="87" t="b">
        <v>0</v>
      </c>
      <c r="Z104" s="87" t="b">
        <v>0</v>
      </c>
      <c r="AA104" s="87" t="b">
        <v>0</v>
      </c>
      <c r="AB104" s="87" t="b">
        <v>0</v>
      </c>
      <c r="AC104" s="87" t="b">
        <v>0</v>
      </c>
      <c r="AD104" s="87" t="b">
        <v>0</v>
      </c>
      <c r="AE104" s="87" t="b">
        <v>0</v>
      </c>
      <c r="AF104" s="87" t="b">
        <v>0</v>
      </c>
      <c r="AG104" s="87" t="b">
        <v>0</v>
      </c>
      <c r="AH104" s="87" t="b">
        <v>0</v>
      </c>
      <c r="AI104" s="87" t="b">
        <v>0</v>
      </c>
      <c r="AJ104" s="87" t="b">
        <v>0</v>
      </c>
      <c r="AK104" s="87" t="b">
        <v>0</v>
      </c>
      <c r="AL104" s="4" cm="1">
        <f t="array" ref="AL104">SUMPRODUCT(
--(G104:AK104=FALSE),
--(ISNA(MATCH(G$5:AK$5,'holiday list'!A:A,0)))
)</f>
        <v>26</v>
      </c>
      <c r="AM104" s="4">
        <f>COUNTIF(G104:AK104,TRUE)</f>
        <v>0</v>
      </c>
      <c r="AN104" s="89">
        <f t="shared" si="7"/>
        <v>0</v>
      </c>
    </row>
    <row r="105" spans="1:40" x14ac:dyDescent="0.35">
      <c r="A105" s="5">
        <v>100</v>
      </c>
      <c r="B105" s="17" t="s">
        <v>194</v>
      </c>
      <c r="C105" s="17" t="s">
        <v>83</v>
      </c>
      <c r="D105" s="97" t="s">
        <v>42</v>
      </c>
      <c r="E105" s="97" t="s">
        <v>43</v>
      </c>
      <c r="F105" s="99" t="s">
        <v>169</v>
      </c>
      <c r="G105" s="87" t="b">
        <v>0</v>
      </c>
      <c r="H105" s="87" t="b">
        <v>0</v>
      </c>
      <c r="I105" s="87" t="b">
        <v>0</v>
      </c>
      <c r="J105" s="87" t="b">
        <v>0</v>
      </c>
      <c r="K105" s="87" t="b">
        <v>0</v>
      </c>
      <c r="L105" s="87" t="b">
        <v>0</v>
      </c>
      <c r="M105" s="87" t="b">
        <v>0</v>
      </c>
      <c r="N105" s="87" t="b">
        <v>0</v>
      </c>
      <c r="O105" s="87" t="b">
        <v>0</v>
      </c>
      <c r="P105" s="87" t="b">
        <v>0</v>
      </c>
      <c r="Q105" s="87" t="b">
        <v>0</v>
      </c>
      <c r="R105" s="87" t="b">
        <v>0</v>
      </c>
      <c r="S105" s="87" t="b">
        <v>0</v>
      </c>
      <c r="T105" s="87" t="b">
        <v>0</v>
      </c>
      <c r="U105" s="87" t="b">
        <v>0</v>
      </c>
      <c r="V105" s="87" t="b">
        <v>0</v>
      </c>
      <c r="W105" s="87" t="b">
        <v>0</v>
      </c>
      <c r="X105" s="87" t="b">
        <v>0</v>
      </c>
      <c r="Y105" s="87" t="b">
        <v>0</v>
      </c>
      <c r="Z105" s="87" t="b">
        <v>0</v>
      </c>
      <c r="AA105" s="87" t="b">
        <v>0</v>
      </c>
      <c r="AB105" s="87" t="b">
        <v>0</v>
      </c>
      <c r="AC105" s="87" t="b">
        <v>0</v>
      </c>
      <c r="AD105" s="87" t="b">
        <v>0</v>
      </c>
      <c r="AE105" s="87" t="b">
        <v>0</v>
      </c>
      <c r="AF105" s="87" t="b">
        <v>0</v>
      </c>
      <c r="AG105" s="87" t="b">
        <v>0</v>
      </c>
      <c r="AH105" s="87" t="b">
        <v>0</v>
      </c>
      <c r="AI105" s="87" t="b">
        <v>0</v>
      </c>
      <c r="AJ105" s="87" t="b">
        <v>0</v>
      </c>
      <c r="AK105" s="87" t="b">
        <v>0</v>
      </c>
      <c r="AL105" s="4" cm="1">
        <f t="array" ref="AL105">SUMPRODUCT(
--(G105:AK105=FALSE),
--(ISNA(MATCH(G$5:AK$5,'holiday list'!A:A,0)))
)</f>
        <v>26</v>
      </c>
      <c r="AM105" s="4">
        <f t="shared" si="6"/>
        <v>0</v>
      </c>
      <c r="AN105" s="89">
        <f t="shared" si="7"/>
        <v>0</v>
      </c>
    </row>
    <row r="106" spans="1:40" x14ac:dyDescent="0.35">
      <c r="A106" s="5">
        <v>101</v>
      </c>
      <c r="B106" s="17" t="s">
        <v>195</v>
      </c>
      <c r="C106" s="17" t="s">
        <v>83</v>
      </c>
      <c r="D106" s="97" t="s">
        <v>42</v>
      </c>
      <c r="E106" s="97" t="s">
        <v>43</v>
      </c>
      <c r="F106" s="99" t="s">
        <v>169</v>
      </c>
      <c r="G106" s="87" t="b">
        <v>0</v>
      </c>
      <c r="H106" s="87" t="b">
        <v>0</v>
      </c>
      <c r="I106" s="87" t="b">
        <v>0</v>
      </c>
      <c r="J106" s="87" t="b">
        <v>0</v>
      </c>
      <c r="K106" s="87" t="b">
        <v>0</v>
      </c>
      <c r="L106" s="87" t="b">
        <v>0</v>
      </c>
      <c r="M106" s="87" t="b">
        <v>0</v>
      </c>
      <c r="N106" s="87" t="b">
        <v>0</v>
      </c>
      <c r="O106" s="87" t="b">
        <v>0</v>
      </c>
      <c r="P106" s="87" t="b">
        <v>0</v>
      </c>
      <c r="Q106" s="87" t="b">
        <v>0</v>
      </c>
      <c r="R106" s="87" t="b">
        <v>0</v>
      </c>
      <c r="S106" s="87" t="b">
        <v>0</v>
      </c>
      <c r="T106" s="87" t="b">
        <v>0</v>
      </c>
      <c r="U106" s="87" t="b">
        <v>0</v>
      </c>
      <c r="V106" s="87" t="b">
        <v>0</v>
      </c>
      <c r="W106" s="87" t="b">
        <v>0</v>
      </c>
      <c r="X106" s="87" t="b">
        <v>0</v>
      </c>
      <c r="Y106" s="87" t="b">
        <v>0</v>
      </c>
      <c r="Z106" s="87" t="b">
        <v>0</v>
      </c>
      <c r="AA106" s="87" t="b">
        <v>0</v>
      </c>
      <c r="AB106" s="87" t="b">
        <v>0</v>
      </c>
      <c r="AC106" s="87" t="b">
        <v>0</v>
      </c>
      <c r="AD106" s="87" t="b">
        <v>0</v>
      </c>
      <c r="AE106" s="87" t="b">
        <v>0</v>
      </c>
      <c r="AF106" s="87" t="b">
        <v>0</v>
      </c>
      <c r="AG106" s="87" t="b">
        <v>0</v>
      </c>
      <c r="AH106" s="87" t="b">
        <v>0</v>
      </c>
      <c r="AI106" s="87" t="b">
        <v>0</v>
      </c>
      <c r="AJ106" s="87" t="b">
        <v>0</v>
      </c>
      <c r="AK106" s="87" t="b">
        <v>0</v>
      </c>
      <c r="AL106" s="4" cm="1">
        <f t="array" ref="AL106">SUMPRODUCT(
--(G106:AK106=FALSE),
--(ISNA(MATCH(G$5:AK$5,'holiday list'!A:A,0)))
)</f>
        <v>26</v>
      </c>
      <c r="AM106" s="4">
        <f t="shared" si="6"/>
        <v>0</v>
      </c>
      <c r="AN106" s="89">
        <f t="shared" si="7"/>
        <v>0</v>
      </c>
    </row>
    <row r="107" spans="1:40" ht="15" thickBot="1" x14ac:dyDescent="0.4">
      <c r="A107" s="5">
        <v>102</v>
      </c>
      <c r="B107" s="21" t="s">
        <v>35</v>
      </c>
      <c r="C107" s="21" t="s">
        <v>83</v>
      </c>
      <c r="D107" s="100" t="s">
        <v>42</v>
      </c>
      <c r="E107" s="101" t="s">
        <v>43</v>
      </c>
      <c r="F107" s="102" t="s">
        <v>48</v>
      </c>
      <c r="G107" s="87" t="b">
        <v>0</v>
      </c>
      <c r="H107" s="87" t="b">
        <v>0</v>
      </c>
      <c r="I107" s="87" t="b">
        <v>0</v>
      </c>
      <c r="J107" s="87" t="b">
        <v>0</v>
      </c>
      <c r="K107" s="87" t="b">
        <v>0</v>
      </c>
      <c r="L107" s="87" t="b">
        <v>0</v>
      </c>
      <c r="M107" s="87" t="b">
        <v>0</v>
      </c>
      <c r="N107" s="87" t="b">
        <v>0</v>
      </c>
      <c r="O107" s="87" t="b">
        <v>0</v>
      </c>
      <c r="P107" s="87" t="b">
        <v>0</v>
      </c>
      <c r="Q107" s="87" t="b">
        <v>0</v>
      </c>
      <c r="R107" s="87" t="b">
        <v>0</v>
      </c>
      <c r="S107" s="87" t="b">
        <v>0</v>
      </c>
      <c r="T107" s="87" t="b">
        <v>0</v>
      </c>
      <c r="U107" s="87" t="b">
        <v>0</v>
      </c>
      <c r="V107" s="87" t="b">
        <v>0</v>
      </c>
      <c r="W107" s="87" t="b">
        <v>0</v>
      </c>
      <c r="X107" s="87" t="b">
        <v>0</v>
      </c>
      <c r="Y107" s="87" t="b">
        <v>0</v>
      </c>
      <c r="Z107" s="87" t="b">
        <v>0</v>
      </c>
      <c r="AA107" s="87" t="b">
        <v>0</v>
      </c>
      <c r="AB107" s="87" t="b">
        <v>0</v>
      </c>
      <c r="AC107" s="87" t="b">
        <v>0</v>
      </c>
      <c r="AD107" s="87" t="b">
        <v>0</v>
      </c>
      <c r="AE107" s="87" t="b">
        <v>0</v>
      </c>
      <c r="AF107" s="87" t="b">
        <v>0</v>
      </c>
      <c r="AG107" s="87" t="b">
        <v>0</v>
      </c>
      <c r="AH107" s="87" t="b">
        <v>0</v>
      </c>
      <c r="AI107" s="87" t="b">
        <v>0</v>
      </c>
      <c r="AJ107" s="87" t="b">
        <v>0</v>
      </c>
      <c r="AK107" s="87" t="b">
        <v>0</v>
      </c>
      <c r="AL107" s="4" cm="1">
        <f t="array" ref="AL107">SUMPRODUCT(
--(G107:AK107=FALSE),
--(ISNA(MATCH(G$5:AK$5,'holiday list'!A:A,0)))
)</f>
        <v>26</v>
      </c>
      <c r="AM107" s="4">
        <f t="shared" si="6"/>
        <v>0</v>
      </c>
      <c r="AN107" s="89">
        <f t="shared" si="7"/>
        <v>0</v>
      </c>
    </row>
    <row r="108" spans="1:40" x14ac:dyDescent="0.35">
      <c r="A108" s="5">
        <v>103</v>
      </c>
      <c r="B108" s="17" t="s">
        <v>196</v>
      </c>
      <c r="C108" s="17" t="s">
        <v>197</v>
      </c>
      <c r="D108" s="97" t="s">
        <v>42</v>
      </c>
      <c r="E108" s="98" t="s">
        <v>43</v>
      </c>
      <c r="F108" s="99" t="s">
        <v>169</v>
      </c>
      <c r="G108" s="87" t="b">
        <v>0</v>
      </c>
      <c r="H108" s="87" t="b">
        <v>0</v>
      </c>
      <c r="I108" s="87" t="b">
        <v>0</v>
      </c>
      <c r="J108" s="87" t="b">
        <v>0</v>
      </c>
      <c r="K108" s="87" t="b">
        <v>0</v>
      </c>
      <c r="L108" s="87" t="b">
        <v>0</v>
      </c>
      <c r="M108" s="87" t="b">
        <v>0</v>
      </c>
      <c r="N108" s="87" t="b">
        <v>0</v>
      </c>
      <c r="O108" s="87" t="b">
        <v>0</v>
      </c>
      <c r="P108" s="87" t="b">
        <v>0</v>
      </c>
      <c r="Q108" s="87" t="b">
        <v>0</v>
      </c>
      <c r="R108" s="87" t="b">
        <v>0</v>
      </c>
      <c r="S108" s="87" t="b">
        <v>0</v>
      </c>
      <c r="T108" s="87" t="b">
        <v>0</v>
      </c>
      <c r="U108" s="87" t="b">
        <v>0</v>
      </c>
      <c r="V108" s="87" t="b">
        <v>0</v>
      </c>
      <c r="W108" s="87" t="b">
        <v>0</v>
      </c>
      <c r="X108" s="87" t="b">
        <v>0</v>
      </c>
      <c r="Y108" s="87" t="b">
        <v>0</v>
      </c>
      <c r="Z108" s="87" t="b">
        <v>0</v>
      </c>
      <c r="AA108" s="87" t="b">
        <v>0</v>
      </c>
      <c r="AB108" s="87" t="b">
        <v>0</v>
      </c>
      <c r="AC108" s="87" t="b">
        <v>0</v>
      </c>
      <c r="AD108" s="87" t="b">
        <v>0</v>
      </c>
      <c r="AE108" s="87" t="b">
        <v>0</v>
      </c>
      <c r="AF108" s="87" t="b">
        <v>0</v>
      </c>
      <c r="AG108" s="87" t="b">
        <v>0</v>
      </c>
      <c r="AH108" s="87" t="b">
        <v>0</v>
      </c>
      <c r="AI108" s="87" t="b">
        <v>0</v>
      </c>
      <c r="AJ108" s="87" t="b">
        <v>0</v>
      </c>
      <c r="AK108" s="87" t="b">
        <v>0</v>
      </c>
      <c r="AL108" s="4" cm="1">
        <f t="array" ref="AL108">SUMPRODUCT(
--(G108:AK108=FALSE),
--(ISNA(MATCH(G$5:AK$5,'holiday list'!A:A,0)))
)</f>
        <v>26</v>
      </c>
      <c r="AM108" s="4">
        <f t="shared" si="6"/>
        <v>0</v>
      </c>
      <c r="AN108" s="89">
        <f t="shared" si="7"/>
        <v>0</v>
      </c>
    </row>
    <row r="109" spans="1:40" x14ac:dyDescent="0.35">
      <c r="A109" s="5">
        <v>104</v>
      </c>
      <c r="B109" s="18" t="s">
        <v>198</v>
      </c>
      <c r="C109" s="17" t="s">
        <v>197</v>
      </c>
      <c r="D109" s="97" t="s">
        <v>53</v>
      </c>
      <c r="E109" s="98" t="s">
        <v>43</v>
      </c>
      <c r="F109" s="99" t="s">
        <v>169</v>
      </c>
      <c r="G109" s="87" t="b">
        <v>0</v>
      </c>
      <c r="H109" s="87" t="b">
        <v>0</v>
      </c>
      <c r="I109" s="87" t="b">
        <v>0</v>
      </c>
      <c r="J109" s="87" t="b">
        <v>0</v>
      </c>
      <c r="K109" s="87" t="b">
        <v>0</v>
      </c>
      <c r="L109" s="87" t="b">
        <v>0</v>
      </c>
      <c r="M109" s="87" t="b">
        <v>0</v>
      </c>
      <c r="N109" s="87" t="b">
        <v>0</v>
      </c>
      <c r="O109" s="87" t="b">
        <v>0</v>
      </c>
      <c r="P109" s="87" t="b">
        <v>0</v>
      </c>
      <c r="Q109" s="87" t="b">
        <v>0</v>
      </c>
      <c r="R109" s="87" t="b">
        <v>0</v>
      </c>
      <c r="S109" s="87" t="b">
        <v>0</v>
      </c>
      <c r="T109" s="87" t="b">
        <v>0</v>
      </c>
      <c r="U109" s="87" t="b">
        <v>0</v>
      </c>
      <c r="V109" s="87" t="b">
        <v>0</v>
      </c>
      <c r="W109" s="87" t="b">
        <v>0</v>
      </c>
      <c r="X109" s="87" t="b">
        <v>0</v>
      </c>
      <c r="Y109" s="87" t="b">
        <v>0</v>
      </c>
      <c r="Z109" s="87" t="b">
        <v>0</v>
      </c>
      <c r="AA109" s="87" t="b">
        <v>0</v>
      </c>
      <c r="AB109" s="87" t="b">
        <v>0</v>
      </c>
      <c r="AC109" s="87" t="b">
        <v>0</v>
      </c>
      <c r="AD109" s="87" t="b">
        <v>0</v>
      </c>
      <c r="AE109" s="87" t="b">
        <v>0</v>
      </c>
      <c r="AF109" s="87" t="b">
        <v>0</v>
      </c>
      <c r="AG109" s="87" t="b">
        <v>0</v>
      </c>
      <c r="AH109" s="87" t="b">
        <v>0</v>
      </c>
      <c r="AI109" s="87" t="b">
        <v>0</v>
      </c>
      <c r="AJ109" s="87" t="b">
        <v>0</v>
      </c>
      <c r="AK109" s="87" t="b">
        <v>0</v>
      </c>
      <c r="AL109" s="4" cm="1">
        <f t="array" ref="AL109">SUMPRODUCT(
--(G109:AK109=FALSE),
--(ISNA(MATCH(G$5:AK$5,'holiday list'!A:A,0)))
)</f>
        <v>26</v>
      </c>
      <c r="AM109" s="4">
        <f t="shared" si="6"/>
        <v>0</v>
      </c>
      <c r="AN109" s="89">
        <f t="shared" si="7"/>
        <v>0</v>
      </c>
    </row>
    <row r="110" spans="1:40" x14ac:dyDescent="0.35">
      <c r="A110" s="5">
        <v>105</v>
      </c>
      <c r="B110" s="17" t="s">
        <v>199</v>
      </c>
      <c r="C110" s="17" t="s">
        <v>200</v>
      </c>
      <c r="D110" s="97" t="s">
        <v>53</v>
      </c>
      <c r="E110" s="98" t="s">
        <v>43</v>
      </c>
      <c r="F110" s="99" t="s">
        <v>169</v>
      </c>
      <c r="G110" s="87" t="b">
        <v>0</v>
      </c>
      <c r="H110" s="87" t="b">
        <v>0</v>
      </c>
      <c r="I110" s="87" t="b">
        <v>0</v>
      </c>
      <c r="J110" s="87" t="b">
        <v>0</v>
      </c>
      <c r="K110" s="87" t="b">
        <v>0</v>
      </c>
      <c r="L110" s="87" t="b">
        <v>0</v>
      </c>
      <c r="M110" s="87" t="b">
        <v>0</v>
      </c>
      <c r="N110" s="87" t="b">
        <v>0</v>
      </c>
      <c r="O110" s="87" t="b">
        <v>0</v>
      </c>
      <c r="P110" s="87" t="b">
        <v>0</v>
      </c>
      <c r="Q110" s="87" t="b">
        <v>0</v>
      </c>
      <c r="R110" s="87" t="b">
        <v>0</v>
      </c>
      <c r="S110" s="87" t="b">
        <v>0</v>
      </c>
      <c r="T110" s="87" t="b">
        <v>0</v>
      </c>
      <c r="U110" s="87" t="b">
        <v>0</v>
      </c>
      <c r="V110" s="87" t="b">
        <v>0</v>
      </c>
      <c r="W110" s="87" t="b">
        <v>0</v>
      </c>
      <c r="X110" s="87" t="b">
        <v>0</v>
      </c>
      <c r="Y110" s="87" t="b">
        <v>0</v>
      </c>
      <c r="Z110" s="87" t="b">
        <v>0</v>
      </c>
      <c r="AA110" s="87" t="b">
        <v>0</v>
      </c>
      <c r="AB110" s="87" t="b">
        <v>0</v>
      </c>
      <c r="AC110" s="87" t="b">
        <v>0</v>
      </c>
      <c r="AD110" s="87" t="b">
        <v>0</v>
      </c>
      <c r="AE110" s="87" t="b">
        <v>0</v>
      </c>
      <c r="AF110" s="87" t="b">
        <v>0</v>
      </c>
      <c r="AG110" s="87" t="b">
        <v>0</v>
      </c>
      <c r="AH110" s="87" t="b">
        <v>0</v>
      </c>
      <c r="AI110" s="87" t="b">
        <v>0</v>
      </c>
      <c r="AJ110" s="87" t="b">
        <v>0</v>
      </c>
      <c r="AK110" s="87" t="b">
        <v>0</v>
      </c>
      <c r="AL110" s="4" cm="1">
        <f t="array" ref="AL110">SUMPRODUCT(
--(G110:AK110=FALSE),
--(ISNA(MATCH(G$5:AK$5,'holiday list'!A:A,0)))
)</f>
        <v>26</v>
      </c>
      <c r="AM110" s="4">
        <f t="shared" si="6"/>
        <v>0</v>
      </c>
      <c r="AN110" s="89">
        <f t="shared" si="7"/>
        <v>0</v>
      </c>
    </row>
    <row r="111" spans="1:40" x14ac:dyDescent="0.35">
      <c r="A111" s="5">
        <v>106</v>
      </c>
      <c r="B111" s="18" t="s">
        <v>20</v>
      </c>
      <c r="C111" s="8" t="s">
        <v>125</v>
      </c>
      <c r="D111" s="106" t="s">
        <v>126</v>
      </c>
      <c r="E111" s="107" t="s">
        <v>45</v>
      </c>
      <c r="F111" s="99" t="s">
        <v>48</v>
      </c>
      <c r="G111" s="87" t="b">
        <v>0</v>
      </c>
      <c r="H111" s="87" t="b">
        <v>0</v>
      </c>
      <c r="I111" s="87" t="b">
        <v>0</v>
      </c>
      <c r="J111" s="87" t="b">
        <v>0</v>
      </c>
      <c r="K111" s="87" t="b">
        <v>0</v>
      </c>
      <c r="L111" s="87" t="b">
        <v>0</v>
      </c>
      <c r="M111" s="87" t="b">
        <v>0</v>
      </c>
      <c r="N111" s="87" t="b">
        <v>0</v>
      </c>
      <c r="O111" s="87" t="b">
        <v>0</v>
      </c>
      <c r="P111" s="87" t="b">
        <v>0</v>
      </c>
      <c r="Q111" s="87" t="b">
        <v>0</v>
      </c>
      <c r="R111" s="87" t="b">
        <v>0</v>
      </c>
      <c r="S111" s="87" t="b">
        <v>0</v>
      </c>
      <c r="T111" s="87" t="b">
        <v>0</v>
      </c>
      <c r="U111" s="87" t="b">
        <v>0</v>
      </c>
      <c r="V111" s="87" t="b">
        <v>0</v>
      </c>
      <c r="W111" s="87" t="b">
        <v>0</v>
      </c>
      <c r="X111" s="87" t="b">
        <v>0</v>
      </c>
      <c r="Y111" s="87" t="b">
        <v>0</v>
      </c>
      <c r="Z111" s="87" t="b">
        <v>0</v>
      </c>
      <c r="AA111" s="87" t="b">
        <v>0</v>
      </c>
      <c r="AB111" s="87" t="b">
        <v>0</v>
      </c>
      <c r="AC111" s="87" t="b">
        <v>0</v>
      </c>
      <c r="AD111" s="87" t="b">
        <v>0</v>
      </c>
      <c r="AE111" s="87" t="b">
        <v>0</v>
      </c>
      <c r="AF111" s="87" t="b">
        <v>0</v>
      </c>
      <c r="AG111" s="87" t="b">
        <v>0</v>
      </c>
      <c r="AH111" s="87" t="b">
        <v>0</v>
      </c>
      <c r="AI111" s="87" t="b">
        <v>0</v>
      </c>
      <c r="AJ111" s="87" t="b">
        <v>0</v>
      </c>
      <c r="AK111" s="87" t="b">
        <v>0</v>
      </c>
      <c r="AL111" s="4" cm="1">
        <f t="array" ref="AL111">SUMPRODUCT(
--(G111:AK111=FALSE),
--(ISNA(MATCH(G$5:AK$5,'holiday list'!A:A,0)))
)</f>
        <v>26</v>
      </c>
      <c r="AM111" s="4">
        <f t="shared" si="6"/>
        <v>0</v>
      </c>
      <c r="AN111" s="89">
        <f t="shared" si="7"/>
        <v>0</v>
      </c>
    </row>
    <row r="112" spans="1:40" x14ac:dyDescent="0.35">
      <c r="A112" s="5">
        <v>107</v>
      </c>
      <c r="B112" s="17" t="s">
        <v>201</v>
      </c>
      <c r="C112" s="108" t="s">
        <v>202</v>
      </c>
      <c r="D112" s="106" t="s">
        <v>42</v>
      </c>
      <c r="E112" s="107" t="s">
        <v>43</v>
      </c>
      <c r="F112" s="99" t="s">
        <v>169</v>
      </c>
      <c r="G112" s="87" t="b">
        <v>0</v>
      </c>
      <c r="H112" s="87" t="b">
        <v>0</v>
      </c>
      <c r="I112" s="87" t="b">
        <v>0</v>
      </c>
      <c r="J112" s="87" t="b">
        <v>0</v>
      </c>
      <c r="K112" s="87" t="b">
        <v>0</v>
      </c>
      <c r="L112" s="87" t="b">
        <v>0</v>
      </c>
      <c r="M112" s="87" t="b">
        <v>0</v>
      </c>
      <c r="N112" s="87" t="b">
        <v>0</v>
      </c>
      <c r="O112" s="87" t="b">
        <v>0</v>
      </c>
      <c r="P112" s="87" t="b">
        <v>0</v>
      </c>
      <c r="Q112" s="87" t="b">
        <v>0</v>
      </c>
      <c r="R112" s="87" t="b">
        <v>0</v>
      </c>
      <c r="S112" s="87" t="b">
        <v>0</v>
      </c>
      <c r="T112" s="87" t="b">
        <v>0</v>
      </c>
      <c r="U112" s="87" t="b">
        <v>0</v>
      </c>
      <c r="V112" s="87" t="b">
        <v>0</v>
      </c>
      <c r="W112" s="87" t="b">
        <v>0</v>
      </c>
      <c r="X112" s="87" t="b">
        <v>0</v>
      </c>
      <c r="Y112" s="87" t="b">
        <v>0</v>
      </c>
      <c r="Z112" s="87" t="b">
        <v>0</v>
      </c>
      <c r="AA112" s="87" t="b">
        <v>0</v>
      </c>
      <c r="AB112" s="87" t="b">
        <v>0</v>
      </c>
      <c r="AC112" s="87" t="b">
        <v>0</v>
      </c>
      <c r="AD112" s="87" t="b">
        <v>0</v>
      </c>
      <c r="AE112" s="87" t="b">
        <v>0</v>
      </c>
      <c r="AF112" s="87" t="b">
        <v>0</v>
      </c>
      <c r="AG112" s="87" t="b">
        <v>0</v>
      </c>
      <c r="AH112" s="87" t="b">
        <v>0</v>
      </c>
      <c r="AI112" s="87" t="b">
        <v>0</v>
      </c>
      <c r="AJ112" s="87" t="b">
        <v>0</v>
      </c>
      <c r="AK112" s="87" t="b">
        <v>0</v>
      </c>
      <c r="AL112" s="4" cm="1">
        <f t="array" ref="AL112">SUMPRODUCT(
--(G112:AK112=FALSE),
--(ISNA(MATCH(G$5:AK$5,'holiday list'!A:A,0)))
)</f>
        <v>26</v>
      </c>
      <c r="AM112" s="4">
        <f t="shared" si="6"/>
        <v>0</v>
      </c>
      <c r="AN112" s="89">
        <f t="shared" si="7"/>
        <v>0</v>
      </c>
    </row>
    <row r="113" spans="1:40" x14ac:dyDescent="0.35">
      <c r="A113" s="5">
        <v>108</v>
      </c>
      <c r="B113" s="17" t="s">
        <v>203</v>
      </c>
      <c r="C113" s="108" t="s">
        <v>202</v>
      </c>
      <c r="D113" s="106" t="s">
        <v>42</v>
      </c>
      <c r="E113" s="107" t="s">
        <v>43</v>
      </c>
      <c r="F113" s="99" t="s">
        <v>169</v>
      </c>
      <c r="G113" s="87" t="b">
        <v>0</v>
      </c>
      <c r="H113" s="87" t="b">
        <v>0</v>
      </c>
      <c r="I113" s="87" t="b">
        <v>0</v>
      </c>
      <c r="J113" s="87" t="b">
        <v>0</v>
      </c>
      <c r="K113" s="87" t="b">
        <v>0</v>
      </c>
      <c r="L113" s="87" t="b">
        <v>0</v>
      </c>
      <c r="M113" s="87" t="b">
        <v>0</v>
      </c>
      <c r="N113" s="87" t="b">
        <v>0</v>
      </c>
      <c r="O113" s="87" t="b">
        <v>0</v>
      </c>
      <c r="P113" s="87" t="b">
        <v>0</v>
      </c>
      <c r="Q113" s="87" t="b">
        <v>0</v>
      </c>
      <c r="R113" s="87" t="b">
        <v>0</v>
      </c>
      <c r="S113" s="87" t="b">
        <v>0</v>
      </c>
      <c r="T113" s="87" t="b">
        <v>0</v>
      </c>
      <c r="U113" s="87" t="b">
        <v>0</v>
      </c>
      <c r="V113" s="87" t="b">
        <v>0</v>
      </c>
      <c r="W113" s="87" t="b">
        <v>0</v>
      </c>
      <c r="X113" s="87" t="b">
        <v>0</v>
      </c>
      <c r="Y113" s="87" t="b">
        <v>0</v>
      </c>
      <c r="Z113" s="87" t="b">
        <v>0</v>
      </c>
      <c r="AA113" s="87" t="b">
        <v>0</v>
      </c>
      <c r="AB113" s="87" t="b">
        <v>0</v>
      </c>
      <c r="AC113" s="87" t="b">
        <v>0</v>
      </c>
      <c r="AD113" s="87" t="b">
        <v>0</v>
      </c>
      <c r="AE113" s="87" t="b">
        <v>0</v>
      </c>
      <c r="AF113" s="87" t="b">
        <v>0</v>
      </c>
      <c r="AG113" s="87" t="b">
        <v>0</v>
      </c>
      <c r="AH113" s="87" t="b">
        <v>0</v>
      </c>
      <c r="AI113" s="87" t="b">
        <v>0</v>
      </c>
      <c r="AJ113" s="87" t="b">
        <v>0</v>
      </c>
      <c r="AK113" s="87" t="b">
        <v>0</v>
      </c>
      <c r="AL113" s="4" cm="1">
        <f t="array" ref="AL113">SUMPRODUCT(
--(G113:AK113=FALSE),
--(ISNA(MATCH(G$5:AK$5,'holiday list'!A:A,0)))
)</f>
        <v>26</v>
      </c>
      <c r="AM113" s="4">
        <f t="shared" si="6"/>
        <v>0</v>
      </c>
      <c r="AN113" s="89">
        <f t="shared" si="7"/>
        <v>0</v>
      </c>
    </row>
    <row r="114" spans="1:40" x14ac:dyDescent="0.35">
      <c r="A114" s="5">
        <v>109</v>
      </c>
      <c r="B114" s="17" t="s">
        <v>204</v>
      </c>
      <c r="C114" s="17" t="s">
        <v>200</v>
      </c>
      <c r="D114" s="97" t="s">
        <v>42</v>
      </c>
      <c r="E114" s="98" t="s">
        <v>45</v>
      </c>
      <c r="F114" s="99" t="s">
        <v>169</v>
      </c>
      <c r="G114" s="87" t="b">
        <v>0</v>
      </c>
      <c r="H114" s="87" t="b">
        <v>0</v>
      </c>
      <c r="I114" s="87" t="b">
        <v>0</v>
      </c>
      <c r="J114" s="87" t="b">
        <v>0</v>
      </c>
      <c r="K114" s="87" t="b">
        <v>0</v>
      </c>
      <c r="L114" s="87" t="b">
        <v>0</v>
      </c>
      <c r="M114" s="87" t="b">
        <v>0</v>
      </c>
      <c r="N114" s="87" t="b">
        <v>0</v>
      </c>
      <c r="O114" s="87" t="b">
        <v>0</v>
      </c>
      <c r="P114" s="87" t="b">
        <v>0</v>
      </c>
      <c r="Q114" s="87" t="b">
        <v>0</v>
      </c>
      <c r="R114" s="87" t="b">
        <v>0</v>
      </c>
      <c r="S114" s="87" t="b">
        <v>0</v>
      </c>
      <c r="T114" s="87" t="b">
        <v>0</v>
      </c>
      <c r="U114" s="87" t="b">
        <v>0</v>
      </c>
      <c r="V114" s="87" t="b">
        <v>0</v>
      </c>
      <c r="W114" s="87" t="b">
        <v>0</v>
      </c>
      <c r="X114" s="87" t="b">
        <v>0</v>
      </c>
      <c r="Y114" s="87" t="b">
        <v>0</v>
      </c>
      <c r="Z114" s="87" t="b">
        <v>0</v>
      </c>
      <c r="AA114" s="87" t="b">
        <v>0</v>
      </c>
      <c r="AB114" s="87" t="b">
        <v>0</v>
      </c>
      <c r="AC114" s="87" t="b">
        <v>0</v>
      </c>
      <c r="AD114" s="87" t="b">
        <v>0</v>
      </c>
      <c r="AE114" s="87" t="b">
        <v>0</v>
      </c>
      <c r="AF114" s="87" t="b">
        <v>0</v>
      </c>
      <c r="AG114" s="87" t="b">
        <v>0</v>
      </c>
      <c r="AH114" s="87" t="b">
        <v>0</v>
      </c>
      <c r="AI114" s="87" t="b">
        <v>0</v>
      </c>
      <c r="AJ114" s="87" t="b">
        <v>0</v>
      </c>
      <c r="AK114" s="87" t="b">
        <v>0</v>
      </c>
      <c r="AL114" s="4" cm="1">
        <f t="array" ref="AL114">SUMPRODUCT(
--(G114:AK114=FALSE),
--(ISNA(MATCH(G$5:AK$5,'holiday list'!A:A,0)))
)</f>
        <v>26</v>
      </c>
      <c r="AM114" s="4">
        <f t="shared" si="6"/>
        <v>0</v>
      </c>
      <c r="AN114" s="89">
        <f t="shared" si="7"/>
        <v>0</v>
      </c>
    </row>
    <row r="115" spans="1:40" x14ac:dyDescent="0.35">
      <c r="A115" s="5">
        <v>110</v>
      </c>
      <c r="B115" s="17" t="s">
        <v>205</v>
      </c>
      <c r="C115" s="17" t="s">
        <v>200</v>
      </c>
      <c r="D115" s="97" t="s">
        <v>53</v>
      </c>
      <c r="E115" s="98" t="s">
        <v>45</v>
      </c>
      <c r="F115" s="99" t="s">
        <v>169</v>
      </c>
      <c r="G115" s="87" t="b">
        <v>0</v>
      </c>
      <c r="H115" s="87" t="b">
        <v>0</v>
      </c>
      <c r="I115" s="87" t="b">
        <v>0</v>
      </c>
      <c r="J115" s="87" t="b">
        <v>0</v>
      </c>
      <c r="K115" s="87" t="b">
        <v>0</v>
      </c>
      <c r="L115" s="87" t="b">
        <v>0</v>
      </c>
      <c r="M115" s="87" t="b">
        <v>0</v>
      </c>
      <c r="N115" s="87" t="b">
        <v>0</v>
      </c>
      <c r="O115" s="87" t="b">
        <v>0</v>
      </c>
      <c r="P115" s="87" t="b">
        <v>0</v>
      </c>
      <c r="Q115" s="87" t="b">
        <v>0</v>
      </c>
      <c r="R115" s="87" t="b">
        <v>0</v>
      </c>
      <c r="S115" s="87" t="b">
        <v>0</v>
      </c>
      <c r="T115" s="87" t="b">
        <v>0</v>
      </c>
      <c r="U115" s="87" t="b">
        <v>0</v>
      </c>
      <c r="V115" s="87" t="b">
        <v>0</v>
      </c>
      <c r="W115" s="87" t="b">
        <v>0</v>
      </c>
      <c r="X115" s="87" t="b">
        <v>0</v>
      </c>
      <c r="Y115" s="87" t="b">
        <v>0</v>
      </c>
      <c r="Z115" s="87" t="b">
        <v>0</v>
      </c>
      <c r="AA115" s="87" t="b">
        <v>0</v>
      </c>
      <c r="AB115" s="87" t="b">
        <v>0</v>
      </c>
      <c r="AC115" s="87" t="b">
        <v>0</v>
      </c>
      <c r="AD115" s="87" t="b">
        <v>0</v>
      </c>
      <c r="AE115" s="87" t="b">
        <v>0</v>
      </c>
      <c r="AF115" s="87" t="b">
        <v>0</v>
      </c>
      <c r="AG115" s="87" t="b">
        <v>0</v>
      </c>
      <c r="AH115" s="87" t="b">
        <v>0</v>
      </c>
      <c r="AI115" s="87" t="b">
        <v>0</v>
      </c>
      <c r="AJ115" s="87" t="b">
        <v>0</v>
      </c>
      <c r="AK115" s="87" t="b">
        <v>0</v>
      </c>
      <c r="AL115" s="4" cm="1">
        <f t="array" ref="AL115">SUMPRODUCT(
--(G115:AK115=FALSE),
--(ISNA(MATCH(G$5:AK$5,'holiday list'!A:A,0)))
)</f>
        <v>26</v>
      </c>
      <c r="AM115" s="4">
        <f t="shared" si="6"/>
        <v>0</v>
      </c>
      <c r="AN115" s="89">
        <f t="shared" si="7"/>
        <v>0</v>
      </c>
    </row>
    <row r="116" spans="1:40" x14ac:dyDescent="0.35">
      <c r="A116" s="5">
        <v>111</v>
      </c>
      <c r="B116" s="17" t="s">
        <v>206</v>
      </c>
      <c r="C116" s="17" t="s">
        <v>200</v>
      </c>
      <c r="D116" s="97" t="s">
        <v>53</v>
      </c>
      <c r="E116" s="98" t="s">
        <v>45</v>
      </c>
      <c r="F116" s="99" t="s">
        <v>169</v>
      </c>
      <c r="G116" s="87" t="b">
        <v>0</v>
      </c>
      <c r="H116" s="87" t="b">
        <v>0</v>
      </c>
      <c r="I116" s="87" t="b">
        <v>0</v>
      </c>
      <c r="J116" s="87" t="b">
        <v>0</v>
      </c>
      <c r="K116" s="87" t="b">
        <v>0</v>
      </c>
      <c r="L116" s="87" t="b">
        <v>0</v>
      </c>
      <c r="M116" s="87" t="b">
        <v>0</v>
      </c>
      <c r="N116" s="87" t="b">
        <v>0</v>
      </c>
      <c r="O116" s="87" t="b">
        <v>0</v>
      </c>
      <c r="P116" s="87" t="b">
        <v>0</v>
      </c>
      <c r="Q116" s="87" t="b">
        <v>0</v>
      </c>
      <c r="R116" s="87" t="b">
        <v>0</v>
      </c>
      <c r="S116" s="87" t="b">
        <v>0</v>
      </c>
      <c r="T116" s="87" t="b">
        <v>0</v>
      </c>
      <c r="U116" s="87" t="b">
        <v>0</v>
      </c>
      <c r="V116" s="87" t="b">
        <v>0</v>
      </c>
      <c r="W116" s="87" t="b">
        <v>0</v>
      </c>
      <c r="X116" s="87" t="b">
        <v>0</v>
      </c>
      <c r="Y116" s="87" t="b">
        <v>0</v>
      </c>
      <c r="Z116" s="87" t="b">
        <v>0</v>
      </c>
      <c r="AA116" s="87" t="b">
        <v>0</v>
      </c>
      <c r="AB116" s="87" t="b">
        <v>0</v>
      </c>
      <c r="AC116" s="87" t="b">
        <v>0</v>
      </c>
      <c r="AD116" s="87" t="b">
        <v>0</v>
      </c>
      <c r="AE116" s="87" t="b">
        <v>0</v>
      </c>
      <c r="AF116" s="87" t="b">
        <v>0</v>
      </c>
      <c r="AG116" s="87" t="b">
        <v>0</v>
      </c>
      <c r="AH116" s="87" t="b">
        <v>0</v>
      </c>
      <c r="AI116" s="87" t="b">
        <v>0</v>
      </c>
      <c r="AJ116" s="87" t="b">
        <v>0</v>
      </c>
      <c r="AK116" s="87" t="b">
        <v>0</v>
      </c>
      <c r="AL116" s="4" cm="1">
        <f t="array" ref="AL116">SUMPRODUCT(
--(G116:AK116=FALSE),
--(ISNA(MATCH(G$5:AK$5,'holiday list'!A:A,0)))
)</f>
        <v>26</v>
      </c>
      <c r="AM116" s="4">
        <f t="shared" si="6"/>
        <v>0</v>
      </c>
      <c r="AN116" s="89">
        <f t="shared" si="7"/>
        <v>0</v>
      </c>
    </row>
    <row r="117" spans="1:40" x14ac:dyDescent="0.35">
      <c r="A117" s="5">
        <v>112</v>
      </c>
      <c r="B117" s="17" t="s">
        <v>207</v>
      </c>
      <c r="C117" s="17" t="s">
        <v>200</v>
      </c>
      <c r="D117" s="97" t="s">
        <v>53</v>
      </c>
      <c r="E117" s="98" t="s">
        <v>43</v>
      </c>
      <c r="F117" s="99" t="s">
        <v>169</v>
      </c>
      <c r="G117" s="87" t="b">
        <v>0</v>
      </c>
      <c r="H117" s="87" t="b">
        <v>0</v>
      </c>
      <c r="I117" s="87" t="b">
        <v>0</v>
      </c>
      <c r="J117" s="87" t="b">
        <v>0</v>
      </c>
      <c r="K117" s="87" t="b">
        <v>0</v>
      </c>
      <c r="L117" s="87" t="b">
        <v>0</v>
      </c>
      <c r="M117" s="87" t="b">
        <v>0</v>
      </c>
      <c r="N117" s="87" t="b">
        <v>0</v>
      </c>
      <c r="O117" s="87" t="b">
        <v>0</v>
      </c>
      <c r="P117" s="87" t="b">
        <v>0</v>
      </c>
      <c r="Q117" s="87" t="b">
        <v>0</v>
      </c>
      <c r="R117" s="87" t="b">
        <v>0</v>
      </c>
      <c r="S117" s="87" t="b">
        <v>0</v>
      </c>
      <c r="T117" s="87" t="b">
        <v>0</v>
      </c>
      <c r="U117" s="87" t="b">
        <v>0</v>
      </c>
      <c r="V117" s="87" t="b">
        <v>0</v>
      </c>
      <c r="W117" s="87" t="b">
        <v>0</v>
      </c>
      <c r="X117" s="87" t="b">
        <v>0</v>
      </c>
      <c r="Y117" s="87" t="b">
        <v>0</v>
      </c>
      <c r="Z117" s="87" t="b">
        <v>0</v>
      </c>
      <c r="AA117" s="87" t="b">
        <v>0</v>
      </c>
      <c r="AB117" s="87" t="b">
        <v>0</v>
      </c>
      <c r="AC117" s="87" t="b">
        <v>0</v>
      </c>
      <c r="AD117" s="87" t="b">
        <v>0</v>
      </c>
      <c r="AE117" s="87" t="b">
        <v>0</v>
      </c>
      <c r="AF117" s="87" t="b">
        <v>0</v>
      </c>
      <c r="AG117" s="87" t="b">
        <v>0</v>
      </c>
      <c r="AH117" s="87" t="b">
        <v>0</v>
      </c>
      <c r="AI117" s="87" t="b">
        <v>0</v>
      </c>
      <c r="AJ117" s="87" t="b">
        <v>0</v>
      </c>
      <c r="AK117" s="87" t="b">
        <v>0</v>
      </c>
      <c r="AL117" s="4" cm="1">
        <f t="array" ref="AL117">SUMPRODUCT(
--(G117:AK117=FALSE),
--(ISNA(MATCH(G$5:AK$5,'holiday list'!A:A,0)))
)</f>
        <v>26</v>
      </c>
      <c r="AM117" s="4">
        <f t="shared" si="6"/>
        <v>0</v>
      </c>
      <c r="AN117" s="89">
        <f t="shared" si="7"/>
        <v>0</v>
      </c>
    </row>
    <row r="118" spans="1:40" x14ac:dyDescent="0.35">
      <c r="A118" s="5">
        <v>113</v>
      </c>
      <c r="B118" s="17" t="s">
        <v>208</v>
      </c>
      <c r="C118" s="17" t="s">
        <v>200</v>
      </c>
      <c r="D118" s="97" t="s">
        <v>42</v>
      </c>
      <c r="E118" s="98" t="s">
        <v>43</v>
      </c>
      <c r="F118" s="99" t="s">
        <v>169</v>
      </c>
      <c r="G118" s="87" t="b">
        <v>0</v>
      </c>
      <c r="H118" s="87" t="b">
        <v>0</v>
      </c>
      <c r="I118" s="87" t="b">
        <v>0</v>
      </c>
      <c r="J118" s="87" t="b">
        <v>0</v>
      </c>
      <c r="K118" s="87" t="b">
        <v>0</v>
      </c>
      <c r="L118" s="87" t="b">
        <v>0</v>
      </c>
      <c r="M118" s="87" t="b">
        <v>0</v>
      </c>
      <c r="N118" s="87" t="b">
        <v>0</v>
      </c>
      <c r="O118" s="87" t="b">
        <v>0</v>
      </c>
      <c r="P118" s="87" t="b">
        <v>0</v>
      </c>
      <c r="Q118" s="87" t="b">
        <v>0</v>
      </c>
      <c r="R118" s="87" t="b">
        <v>0</v>
      </c>
      <c r="S118" s="87" t="b">
        <v>0</v>
      </c>
      <c r="T118" s="87" t="b">
        <v>0</v>
      </c>
      <c r="U118" s="87" t="b">
        <v>0</v>
      </c>
      <c r="V118" s="87" t="b">
        <v>0</v>
      </c>
      <c r="W118" s="87" t="b">
        <v>0</v>
      </c>
      <c r="X118" s="87" t="b">
        <v>0</v>
      </c>
      <c r="Y118" s="87" t="b">
        <v>0</v>
      </c>
      <c r="Z118" s="87" t="b">
        <v>0</v>
      </c>
      <c r="AA118" s="87" t="b">
        <v>0</v>
      </c>
      <c r="AB118" s="87" t="b">
        <v>0</v>
      </c>
      <c r="AC118" s="87" t="b">
        <v>0</v>
      </c>
      <c r="AD118" s="87" t="b">
        <v>0</v>
      </c>
      <c r="AE118" s="87" t="b">
        <v>0</v>
      </c>
      <c r="AF118" s="87" t="b">
        <v>0</v>
      </c>
      <c r="AG118" s="87" t="b">
        <v>0</v>
      </c>
      <c r="AH118" s="87" t="b">
        <v>0</v>
      </c>
      <c r="AI118" s="87" t="b">
        <v>0</v>
      </c>
      <c r="AJ118" s="87" t="b">
        <v>0</v>
      </c>
      <c r="AK118" s="87" t="b">
        <v>0</v>
      </c>
      <c r="AL118" s="4" cm="1">
        <f t="array" ref="AL118">SUMPRODUCT(
--(G118:AK118=FALSE),
--(ISNA(MATCH(G$5:AK$5,'holiday list'!A:A,0)))
)</f>
        <v>26</v>
      </c>
      <c r="AM118" s="4">
        <f t="shared" si="6"/>
        <v>0</v>
      </c>
      <c r="AN118" s="89">
        <f t="shared" si="7"/>
        <v>0</v>
      </c>
    </row>
    <row r="119" spans="1:40" x14ac:dyDescent="0.35">
      <c r="A119" s="5">
        <v>114</v>
      </c>
      <c r="B119" s="17" t="s">
        <v>209</v>
      </c>
      <c r="C119" s="18"/>
      <c r="D119" s="106" t="s">
        <v>42</v>
      </c>
      <c r="E119" s="97" t="s">
        <v>43</v>
      </c>
      <c r="F119" s="104" t="s">
        <v>169</v>
      </c>
      <c r="G119" s="87" t="b">
        <v>0</v>
      </c>
      <c r="H119" s="87" t="b">
        <v>0</v>
      </c>
      <c r="I119" s="87" t="b">
        <v>0</v>
      </c>
      <c r="J119" s="87" t="b">
        <v>0</v>
      </c>
      <c r="K119" s="87" t="b">
        <v>0</v>
      </c>
      <c r="L119" s="87" t="b">
        <v>0</v>
      </c>
      <c r="M119" s="87" t="b">
        <v>0</v>
      </c>
      <c r="N119" s="87" t="b">
        <v>0</v>
      </c>
      <c r="O119" s="87" t="b">
        <v>0</v>
      </c>
      <c r="P119" s="87" t="b">
        <v>0</v>
      </c>
      <c r="Q119" s="87" t="b">
        <v>0</v>
      </c>
      <c r="R119" s="87" t="b">
        <v>0</v>
      </c>
      <c r="S119" s="87" t="b">
        <v>0</v>
      </c>
      <c r="T119" s="87" t="b">
        <v>0</v>
      </c>
      <c r="U119" s="87" t="b">
        <v>0</v>
      </c>
      <c r="V119" s="87" t="b">
        <v>0</v>
      </c>
      <c r="W119" s="87" t="b">
        <v>0</v>
      </c>
      <c r="X119" s="87" t="b">
        <v>0</v>
      </c>
      <c r="Y119" s="87" t="b">
        <v>0</v>
      </c>
      <c r="Z119" s="87" t="b">
        <v>0</v>
      </c>
      <c r="AA119" s="87" t="b">
        <v>0</v>
      </c>
      <c r="AB119" s="87" t="b">
        <v>0</v>
      </c>
      <c r="AC119" s="87" t="b">
        <v>0</v>
      </c>
      <c r="AD119" s="87" t="b">
        <v>0</v>
      </c>
      <c r="AE119" s="87" t="b">
        <v>0</v>
      </c>
      <c r="AF119" s="87" t="b">
        <v>0</v>
      </c>
      <c r="AG119" s="87" t="b">
        <v>0</v>
      </c>
      <c r="AH119" s="87" t="b">
        <v>0</v>
      </c>
      <c r="AI119" s="87" t="b">
        <v>0</v>
      </c>
      <c r="AJ119" s="87" t="b">
        <v>0</v>
      </c>
      <c r="AK119" s="87" t="b">
        <v>0</v>
      </c>
      <c r="AL119" s="4" cm="1">
        <f t="array" ref="AL119">SUMPRODUCT(
--(G119:AK119=FALSE),
--(ISNA(MATCH(G$5:AK$5,'holiday list'!A:A,0)))
)</f>
        <v>26</v>
      </c>
      <c r="AM119" s="4">
        <f t="shared" si="6"/>
        <v>0</v>
      </c>
      <c r="AN119" s="89">
        <f t="shared" si="7"/>
        <v>0</v>
      </c>
    </row>
    <row r="120" spans="1:40" x14ac:dyDescent="0.35">
      <c r="A120" s="5">
        <v>115</v>
      </c>
      <c r="B120" s="67" t="s">
        <v>210</v>
      </c>
      <c r="C120" s="17" t="s">
        <v>211</v>
      </c>
      <c r="D120" s="97" t="s">
        <v>42</v>
      </c>
      <c r="E120" s="97" t="s">
        <v>43</v>
      </c>
      <c r="F120" s="99" t="s">
        <v>169</v>
      </c>
      <c r="G120" s="87" t="b">
        <v>0</v>
      </c>
      <c r="H120" s="87" t="b">
        <v>0</v>
      </c>
      <c r="I120" s="87" t="b">
        <v>0</v>
      </c>
      <c r="J120" s="87" t="b">
        <v>0</v>
      </c>
      <c r="K120" s="87" t="b">
        <v>0</v>
      </c>
      <c r="L120" s="87" t="b">
        <v>0</v>
      </c>
      <c r="M120" s="87" t="b">
        <v>0</v>
      </c>
      <c r="N120" s="87" t="b">
        <v>0</v>
      </c>
      <c r="O120" s="87" t="b">
        <v>0</v>
      </c>
      <c r="P120" s="87" t="b">
        <v>0</v>
      </c>
      <c r="Q120" s="87" t="b">
        <v>0</v>
      </c>
      <c r="R120" s="87" t="b">
        <v>0</v>
      </c>
      <c r="S120" s="87" t="b">
        <v>0</v>
      </c>
      <c r="T120" s="87" t="b">
        <v>0</v>
      </c>
      <c r="U120" s="87" t="b">
        <v>0</v>
      </c>
      <c r="V120" s="87" t="b">
        <v>0</v>
      </c>
      <c r="W120" s="87" t="b">
        <v>0</v>
      </c>
      <c r="X120" s="87" t="b">
        <v>0</v>
      </c>
      <c r="Y120" s="87" t="b">
        <v>0</v>
      </c>
      <c r="Z120" s="87" t="b">
        <v>0</v>
      </c>
      <c r="AA120" s="87" t="b">
        <v>0</v>
      </c>
      <c r="AB120" s="87" t="b">
        <v>0</v>
      </c>
      <c r="AC120" s="87" t="b">
        <v>0</v>
      </c>
      <c r="AD120" s="87" t="b">
        <v>0</v>
      </c>
      <c r="AE120" s="87" t="b">
        <v>0</v>
      </c>
      <c r="AF120" s="87" t="b">
        <v>0</v>
      </c>
      <c r="AG120" s="87" t="b">
        <v>0</v>
      </c>
      <c r="AH120" s="87" t="b">
        <v>0</v>
      </c>
      <c r="AI120" s="87" t="b">
        <v>0</v>
      </c>
      <c r="AJ120" s="87" t="b">
        <v>0</v>
      </c>
      <c r="AK120" s="87" t="b">
        <v>0</v>
      </c>
      <c r="AL120" s="4" cm="1">
        <f t="array" ref="AL120">SUMPRODUCT(
--(G120:AK120=FALSE),
--(ISNA(MATCH(G$5:AK$5,'holiday list'!A:A,0)))
)</f>
        <v>26</v>
      </c>
      <c r="AM120" s="4">
        <f t="shared" si="6"/>
        <v>0</v>
      </c>
      <c r="AN120" s="89">
        <f t="shared" si="7"/>
        <v>0</v>
      </c>
    </row>
    <row r="121" spans="1:40" x14ac:dyDescent="0.35">
      <c r="A121" s="5">
        <v>116</v>
      </c>
      <c r="B121" s="18" t="s">
        <v>212</v>
      </c>
      <c r="C121" s="18" t="s">
        <v>213</v>
      </c>
      <c r="D121" s="97" t="s">
        <v>42</v>
      </c>
      <c r="E121" s="98" t="s">
        <v>45</v>
      </c>
      <c r="F121" s="104" t="s">
        <v>169</v>
      </c>
      <c r="G121" s="87" t="b">
        <v>0</v>
      </c>
      <c r="H121" s="87" t="b">
        <v>0</v>
      </c>
      <c r="I121" s="87" t="b">
        <v>0</v>
      </c>
      <c r="J121" s="87" t="b">
        <v>0</v>
      </c>
      <c r="K121" s="87" t="b">
        <v>0</v>
      </c>
      <c r="L121" s="87" t="b">
        <v>0</v>
      </c>
      <c r="M121" s="87" t="b">
        <v>0</v>
      </c>
      <c r="N121" s="87" t="b">
        <v>0</v>
      </c>
      <c r="O121" s="87" t="b">
        <v>0</v>
      </c>
      <c r="P121" s="87" t="b">
        <v>0</v>
      </c>
      <c r="Q121" s="87" t="b">
        <v>0</v>
      </c>
      <c r="R121" s="87" t="b">
        <v>0</v>
      </c>
      <c r="S121" s="87" t="b">
        <v>0</v>
      </c>
      <c r="T121" s="87" t="b">
        <v>0</v>
      </c>
      <c r="U121" s="87" t="b">
        <v>0</v>
      </c>
      <c r="V121" s="87" t="b">
        <v>0</v>
      </c>
      <c r="W121" s="87" t="b">
        <v>0</v>
      </c>
      <c r="X121" s="87" t="b">
        <v>0</v>
      </c>
      <c r="Y121" s="87" t="b">
        <v>0</v>
      </c>
      <c r="Z121" s="87" t="b">
        <v>0</v>
      </c>
      <c r="AA121" s="87" t="b">
        <v>0</v>
      </c>
      <c r="AB121" s="87" t="b">
        <v>0</v>
      </c>
      <c r="AC121" s="87" t="b">
        <v>0</v>
      </c>
      <c r="AD121" s="87" t="b">
        <v>0</v>
      </c>
      <c r="AE121" s="87" t="b">
        <v>0</v>
      </c>
      <c r="AF121" s="87" t="b">
        <v>0</v>
      </c>
      <c r="AG121" s="87" t="b">
        <v>0</v>
      </c>
      <c r="AH121" s="87" t="b">
        <v>0</v>
      </c>
      <c r="AI121" s="87" t="b">
        <v>0</v>
      </c>
      <c r="AJ121" s="87" t="b">
        <v>0</v>
      </c>
      <c r="AK121" s="87" t="b">
        <v>0</v>
      </c>
      <c r="AL121" s="4" cm="1">
        <f t="array" ref="AL121">SUMPRODUCT(
--(G121:AK121=FALSE),
--(ISNA(MATCH(G$5:AK$5,'holiday list'!A:A,0)))
)</f>
        <v>26</v>
      </c>
      <c r="AM121" s="4">
        <f t="shared" si="6"/>
        <v>0</v>
      </c>
      <c r="AN121" s="89">
        <f t="shared" si="7"/>
        <v>0</v>
      </c>
    </row>
    <row r="122" spans="1:40" x14ac:dyDescent="0.35">
      <c r="A122" s="5">
        <v>117</v>
      </c>
      <c r="B122" s="18" t="s">
        <v>173</v>
      </c>
      <c r="C122" s="18" t="s">
        <v>213</v>
      </c>
      <c r="D122" s="97" t="s">
        <v>42</v>
      </c>
      <c r="E122" s="98" t="s">
        <v>45</v>
      </c>
      <c r="F122" s="104" t="s">
        <v>169</v>
      </c>
      <c r="G122" s="87" t="b">
        <v>0</v>
      </c>
      <c r="H122" s="87" t="b">
        <v>0</v>
      </c>
      <c r="I122" s="87" t="b">
        <v>0</v>
      </c>
      <c r="J122" s="87" t="b">
        <v>0</v>
      </c>
      <c r="K122" s="87" t="b">
        <v>0</v>
      </c>
      <c r="L122" s="87" t="b">
        <v>0</v>
      </c>
      <c r="M122" s="87" t="b">
        <v>0</v>
      </c>
      <c r="N122" s="87" t="b">
        <v>0</v>
      </c>
      <c r="O122" s="87" t="b">
        <v>0</v>
      </c>
      <c r="P122" s="87" t="b">
        <v>0</v>
      </c>
      <c r="Q122" s="87" t="b">
        <v>0</v>
      </c>
      <c r="R122" s="87" t="b">
        <v>0</v>
      </c>
      <c r="S122" s="87" t="b">
        <v>0</v>
      </c>
      <c r="T122" s="87" t="b">
        <v>0</v>
      </c>
      <c r="U122" s="87" t="b">
        <v>0</v>
      </c>
      <c r="V122" s="87" t="b">
        <v>0</v>
      </c>
      <c r="W122" s="87" t="b">
        <v>0</v>
      </c>
      <c r="X122" s="87" t="b">
        <v>0</v>
      </c>
      <c r="Y122" s="87" t="b">
        <v>0</v>
      </c>
      <c r="Z122" s="87" t="b">
        <v>0</v>
      </c>
      <c r="AA122" s="87" t="b">
        <v>0</v>
      </c>
      <c r="AB122" s="87" t="b">
        <v>0</v>
      </c>
      <c r="AC122" s="87" t="b">
        <v>0</v>
      </c>
      <c r="AD122" s="87" t="b">
        <v>0</v>
      </c>
      <c r="AE122" s="87" t="b">
        <v>0</v>
      </c>
      <c r="AF122" s="87" t="b">
        <v>0</v>
      </c>
      <c r="AG122" s="87" t="b">
        <v>0</v>
      </c>
      <c r="AH122" s="87" t="b">
        <v>0</v>
      </c>
      <c r="AI122" s="87" t="b">
        <v>0</v>
      </c>
      <c r="AJ122" s="87" t="b">
        <v>0</v>
      </c>
      <c r="AK122" s="87" t="b">
        <v>0</v>
      </c>
      <c r="AL122" s="4" cm="1">
        <f t="array" ref="AL122">SUMPRODUCT(
--(G122:AK122=FALSE),
--(ISNA(MATCH(G$5:AK$5,'holiday list'!A:A,0)))
)</f>
        <v>26</v>
      </c>
      <c r="AM122" s="4">
        <f t="shared" si="6"/>
        <v>0</v>
      </c>
      <c r="AN122" s="89">
        <f t="shared" si="7"/>
        <v>0</v>
      </c>
    </row>
  </sheetData>
  <autoFilter ref="A1:AN91" xr:uid="{4ADB48E5-9B20-4AEC-A746-01121D6286B4}"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</autoFilter>
  <mergeCells count="12">
    <mergeCell ref="AM1:AM5"/>
    <mergeCell ref="AN1:AN5"/>
    <mergeCell ref="B1:B2"/>
    <mergeCell ref="C1:C2"/>
    <mergeCell ref="D1:D2"/>
    <mergeCell ref="E1:E2"/>
    <mergeCell ref="A1:A2"/>
    <mergeCell ref="F1:F2"/>
    <mergeCell ref="G1:T2"/>
    <mergeCell ref="U1:AK2"/>
    <mergeCell ref="AL1:AL5"/>
    <mergeCell ref="A3:F3"/>
  </mergeCells>
  <conditionalFormatting sqref="A1">
    <cfRule type="duplicateValues" dxfId="22" priority="11"/>
    <cfRule type="duplicateValues" dxfId="21" priority="12"/>
  </conditionalFormatting>
  <conditionalFormatting sqref="B1">
    <cfRule type="duplicateValues" dxfId="20" priority="16"/>
    <cfRule type="duplicateValues" dxfId="19" priority="17"/>
  </conditionalFormatting>
  <conditionalFormatting sqref="C1">
    <cfRule type="duplicateValues" dxfId="18" priority="20"/>
    <cfRule type="duplicateValues" dxfId="17" priority="21"/>
  </conditionalFormatting>
  <conditionalFormatting sqref="D1:E1">
    <cfRule type="duplicateValues" dxfId="16" priority="22"/>
    <cfRule type="duplicateValues" dxfId="15" priority="23"/>
  </conditionalFormatting>
  <conditionalFormatting sqref="F1:G1">
    <cfRule type="duplicateValues" dxfId="14" priority="18"/>
    <cfRule type="duplicateValues" dxfId="13" priority="19"/>
  </conditionalFormatting>
  <conditionalFormatting sqref="AL1:AM3">
    <cfRule type="duplicateValues" dxfId="12" priority="14"/>
    <cfRule type="duplicateValues" dxfId="11" priority="15"/>
  </conditionalFormatting>
  <conditionalFormatting sqref="C111">
    <cfRule type="duplicateValues" dxfId="10" priority="1"/>
    <cfRule type="duplicateValues" dxfId="9" priority="2"/>
    <cfRule type="duplicateValues" dxfId="8" priority="3"/>
    <cfRule type="duplicateValues" dxfId="7" priority="4"/>
    <cfRule type="duplicateValues" dxfId="6" priority="5"/>
  </conditionalFormatting>
  <conditionalFormatting sqref="A5:A122">
    <cfRule type="duplicateValues" dxfId="5" priority="1501"/>
    <cfRule type="duplicateValues" dxfId="4" priority="1502"/>
    <cfRule type="duplicateValues" dxfId="3" priority="1503"/>
    <cfRule type="duplicateValues" dxfId="2" priority="1504"/>
    <cfRule type="duplicateValues" dxfId="1" priority="1505"/>
    <cfRule type="duplicateValues" dxfId="0" priority="1506"/>
  </conditionalFormatting>
  <dataValidations count="2">
    <dataValidation type="list" allowBlank="1" showInputMessage="1" showErrorMessage="1" sqref="G1" xr:uid="{C051699E-25BA-418F-A1BF-A277C7222C05}">
      <formula1>$BD$7:$BD$19</formula1>
    </dataValidation>
    <dataValidation type="list" allowBlank="1" showInputMessage="1" showErrorMessage="1" sqref="U1" xr:uid="{72F71E96-0F38-4627-BC78-ECC2DDD75067}">
      <formula1>$BE$7:$BE$19</formula1>
    </dataValidation>
  </dataValidations>
  <pageMargins left="0.7" right="0.7" top="0.75" bottom="0.75" header="0.3" footer="0.3"/>
  <ignoredErrors>
    <ignoredError sqref="G3:AK3 D5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CBC7-EFF5-4A3D-852B-664B611EF80A}">
  <sheetPr codeName="Sheet4"/>
  <dimension ref="A1:I12"/>
  <sheetViews>
    <sheetView workbookViewId="0">
      <selection activeCell="C18" sqref="C18"/>
    </sheetView>
  </sheetViews>
  <sheetFormatPr defaultRowHeight="14.5" x14ac:dyDescent="0.35"/>
  <cols>
    <col min="1" max="1" width="10.08984375" bestFit="1" customWidth="1"/>
    <col min="9" max="9" width="10.08984375" bestFit="1" customWidth="1"/>
  </cols>
  <sheetData>
    <row r="1" spans="1:9" x14ac:dyDescent="0.35">
      <c r="A1" s="47" t="s">
        <v>157</v>
      </c>
    </row>
    <row r="2" spans="1:9" x14ac:dyDescent="0.35">
      <c r="A2" s="47"/>
    </row>
    <row r="3" spans="1:9" x14ac:dyDescent="0.35">
      <c r="A3" s="47">
        <v>46082</v>
      </c>
    </row>
    <row r="4" spans="1:9" x14ac:dyDescent="0.35">
      <c r="A4" s="27">
        <v>46089</v>
      </c>
      <c r="I4" s="27"/>
    </row>
    <row r="5" spans="1:9" x14ac:dyDescent="0.35">
      <c r="A5" s="27">
        <v>46096</v>
      </c>
      <c r="I5" s="27"/>
    </row>
    <row r="6" spans="1:9" x14ac:dyDescent="0.35">
      <c r="A6" s="27">
        <v>46103</v>
      </c>
      <c r="I6" s="27"/>
    </row>
    <row r="7" spans="1:9" x14ac:dyDescent="0.35">
      <c r="A7" s="27">
        <v>46110</v>
      </c>
      <c r="I7" s="27"/>
    </row>
    <row r="8" spans="1:9" x14ac:dyDescent="0.35">
      <c r="A8" s="27"/>
      <c r="I8" s="27"/>
    </row>
    <row r="9" spans="1:9" x14ac:dyDescent="0.35">
      <c r="I9" s="27"/>
    </row>
    <row r="10" spans="1:9" x14ac:dyDescent="0.35">
      <c r="I10" s="27"/>
    </row>
    <row r="11" spans="1:9" x14ac:dyDescent="0.35">
      <c r="I11" s="27"/>
    </row>
    <row r="12" spans="1:9" x14ac:dyDescent="0.35">
      <c r="I12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 Attendance</vt:lpstr>
      <vt:lpstr>ABSENT REASONS</vt:lpstr>
      <vt:lpstr>MONTHLY ATTENDANCE </vt:lpstr>
      <vt:lpstr>holiday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Store</dc:creator>
  <cp:lastModifiedBy>Office</cp:lastModifiedBy>
  <cp:lastPrinted>2026-02-16T06:01:07Z</cp:lastPrinted>
  <dcterms:created xsi:type="dcterms:W3CDTF">2026-01-01T03:07:29Z</dcterms:created>
  <dcterms:modified xsi:type="dcterms:W3CDTF">2026-03-07T14:17:29Z</dcterms:modified>
</cp:coreProperties>
</file>